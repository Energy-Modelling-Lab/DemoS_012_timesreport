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codeName="ThisWorkbook" defaultThemeVersion="124226"/>
  <mc:AlternateContent xmlns:mc="http://schemas.openxmlformats.org/markup-compatibility/2006">
    <mc:Choice Requires="x15">
      <x15ac:absPath xmlns:x15ac="http://schemas.microsoft.com/office/spreadsheetml/2010/11/ac" url="C:\kristoffer\DemoS_012_timesreport\SuppXLS\"/>
    </mc:Choice>
  </mc:AlternateContent>
  <xr:revisionPtr revIDLastSave="0" documentId="13_ncr:1_{BA83349E-B400-4E6E-940B-0356717035B7}" xr6:coauthVersionLast="47" xr6:coauthVersionMax="47" xr10:uidLastSave="{00000000-0000-0000-0000-000000000000}"/>
  <bookViews>
    <workbookView xWindow="-57720" yWindow="-120" windowWidth="57840" windowHeight="31920" activeTab="1" xr2:uid="{00000000-000D-0000-FFFF-FFFF00000000}"/>
  </bookViews>
  <sheets>
    <sheet name="UserInput" sheetId="18" r:id="rId1"/>
    <sheet name="WriteSets2GDXfile" sheetId="15" r:id="rId2"/>
    <sheet name="TIMESreport_Switches" sheetId="19" r:id="rId3"/>
    <sheet name="RunTIMESReportScript" sheetId="11" r:id="rId4"/>
  </sheets>
  <definedNames>
    <definedName name="filename" localSheetId="2">RunTIMESReportScript!$C$12</definedName>
    <definedName name="filename">RunTIMESReportScript!$C$15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5" l="1"/>
  <c r="C15" i="11"/>
  <c r="C16" i="11" s="1"/>
  <c r="C17" i="11" s="1"/>
  <c r="C10" i="11" s="1"/>
  <c r="B15" i="19"/>
  <c r="B14" i="19"/>
  <c r="B13" i="19"/>
  <c r="B12" i="19"/>
  <c r="B11" i="19"/>
  <c r="B10" i="19"/>
  <c r="B9" i="19"/>
  <c r="B5" i="19"/>
  <c r="B4" i="19"/>
  <c r="X197" i="15"/>
  <c r="W197" i="15"/>
  <c r="Y197" i="15" s="1"/>
  <c r="U197" i="15"/>
  <c r="T197" i="15"/>
  <c r="S197" i="15"/>
  <c r="R197" i="15"/>
  <c r="O197" i="15"/>
  <c r="N197" i="15"/>
  <c r="M197" i="15"/>
  <c r="K197" i="15"/>
  <c r="J197" i="15"/>
  <c r="I197" i="15"/>
  <c r="H197" i="15"/>
  <c r="E197" i="15"/>
  <c r="D197" i="15"/>
  <c r="C197" i="15"/>
  <c r="B197" i="15"/>
  <c r="X196" i="15"/>
  <c r="W196" i="15"/>
  <c r="Y196" i="15" s="1"/>
  <c r="U196" i="15"/>
  <c r="T196" i="15"/>
  <c r="S196" i="15"/>
  <c r="R196" i="15"/>
  <c r="O196" i="15"/>
  <c r="N196" i="15"/>
  <c r="M196" i="15"/>
  <c r="K196" i="15"/>
  <c r="J196" i="15"/>
  <c r="I196" i="15"/>
  <c r="H196" i="15"/>
  <c r="E196" i="15"/>
  <c r="D196" i="15"/>
  <c r="C196" i="15"/>
  <c r="B196" i="15"/>
  <c r="X195" i="15"/>
  <c r="W195" i="15"/>
  <c r="Y195" i="15" s="1"/>
  <c r="U195" i="15"/>
  <c r="T195" i="15"/>
  <c r="S195" i="15"/>
  <c r="R195" i="15"/>
  <c r="O195" i="15"/>
  <c r="N195" i="15"/>
  <c r="M195" i="15"/>
  <c r="K195" i="15"/>
  <c r="J195" i="15"/>
  <c r="I195" i="15"/>
  <c r="H195" i="15"/>
  <c r="E195" i="15"/>
  <c r="D195" i="15"/>
  <c r="C195" i="15"/>
  <c r="B195" i="15"/>
  <c r="X194" i="15"/>
  <c r="W194" i="15"/>
  <c r="Y194" i="15" s="1"/>
  <c r="U194" i="15"/>
  <c r="T194" i="15"/>
  <c r="S194" i="15"/>
  <c r="R194" i="15"/>
  <c r="O194" i="15"/>
  <c r="N194" i="15"/>
  <c r="M194" i="15"/>
  <c r="K194" i="15"/>
  <c r="J194" i="15"/>
  <c r="I194" i="15"/>
  <c r="H194" i="15"/>
  <c r="E194" i="15"/>
  <c r="D194" i="15"/>
  <c r="C194" i="15"/>
  <c r="B194" i="15"/>
  <c r="X193" i="15"/>
  <c r="W193" i="15"/>
  <c r="Y193" i="15" s="1"/>
  <c r="U193" i="15"/>
  <c r="T193" i="15"/>
  <c r="S193" i="15"/>
  <c r="R193" i="15"/>
  <c r="O193" i="15"/>
  <c r="N193" i="15"/>
  <c r="M193" i="15"/>
  <c r="K193" i="15"/>
  <c r="J193" i="15"/>
  <c r="I193" i="15"/>
  <c r="H193" i="15"/>
  <c r="E193" i="15"/>
  <c r="D193" i="15"/>
  <c r="C193" i="15"/>
  <c r="B193" i="15"/>
  <c r="X192" i="15"/>
  <c r="W192" i="15"/>
  <c r="Y192" i="15" s="1"/>
  <c r="U192" i="15"/>
  <c r="T192" i="15"/>
  <c r="S192" i="15"/>
  <c r="R192" i="15"/>
  <c r="O192" i="15"/>
  <c r="N192" i="15"/>
  <c r="M192" i="15"/>
  <c r="K192" i="15"/>
  <c r="J192" i="15"/>
  <c r="I192" i="15"/>
  <c r="H192" i="15"/>
  <c r="E192" i="15"/>
  <c r="D192" i="15"/>
  <c r="C192" i="15"/>
  <c r="B192" i="15"/>
  <c r="X191" i="15"/>
  <c r="W191" i="15"/>
  <c r="Y191" i="15" s="1"/>
  <c r="U191" i="15"/>
  <c r="T191" i="15"/>
  <c r="S191" i="15"/>
  <c r="R191" i="15"/>
  <c r="O191" i="15"/>
  <c r="N191" i="15"/>
  <c r="M191" i="15"/>
  <c r="K191" i="15"/>
  <c r="J191" i="15"/>
  <c r="I191" i="15"/>
  <c r="H191" i="15"/>
  <c r="E191" i="15"/>
  <c r="D191" i="15"/>
  <c r="C191" i="15"/>
  <c r="B191" i="15"/>
  <c r="X190" i="15"/>
  <c r="W190" i="15"/>
  <c r="Y190" i="15" s="1"/>
  <c r="U190" i="15"/>
  <c r="T190" i="15"/>
  <c r="S190" i="15"/>
  <c r="R190" i="15"/>
  <c r="O190" i="15"/>
  <c r="N190" i="15"/>
  <c r="M190" i="15"/>
  <c r="K190" i="15"/>
  <c r="J190" i="15"/>
  <c r="I190" i="15"/>
  <c r="H190" i="15"/>
  <c r="E190" i="15"/>
  <c r="D190" i="15"/>
  <c r="C190" i="15"/>
  <c r="B190" i="15"/>
  <c r="X189" i="15"/>
  <c r="W189" i="15"/>
  <c r="Y189" i="15" s="1"/>
  <c r="U189" i="15"/>
  <c r="T189" i="15"/>
  <c r="S189" i="15"/>
  <c r="R189" i="15"/>
  <c r="O189" i="15"/>
  <c r="N189" i="15"/>
  <c r="M189" i="15"/>
  <c r="K189" i="15"/>
  <c r="J189" i="15"/>
  <c r="I189" i="15"/>
  <c r="H189" i="15"/>
  <c r="E189" i="15"/>
  <c r="D189" i="15"/>
  <c r="C189" i="15"/>
  <c r="B189" i="15"/>
  <c r="X188" i="15"/>
  <c r="W188" i="15"/>
  <c r="Y188" i="15" s="1"/>
  <c r="U188" i="15"/>
  <c r="T188" i="15"/>
  <c r="S188" i="15"/>
  <c r="R188" i="15"/>
  <c r="O188" i="15"/>
  <c r="N188" i="15"/>
  <c r="M188" i="15"/>
  <c r="K188" i="15"/>
  <c r="J188" i="15"/>
  <c r="I188" i="15"/>
  <c r="H188" i="15"/>
  <c r="E188" i="15"/>
  <c r="D188" i="15"/>
  <c r="C188" i="15"/>
  <c r="B188" i="15"/>
  <c r="X187" i="15"/>
  <c r="W187" i="15"/>
  <c r="Y187" i="15" s="1"/>
  <c r="U187" i="15"/>
  <c r="T187" i="15"/>
  <c r="S187" i="15"/>
  <c r="R187" i="15"/>
  <c r="O187" i="15"/>
  <c r="N187" i="15"/>
  <c r="M187" i="15"/>
  <c r="K187" i="15"/>
  <c r="J187" i="15"/>
  <c r="I187" i="15"/>
  <c r="H187" i="15"/>
  <c r="E187" i="15"/>
  <c r="D187" i="15"/>
  <c r="C187" i="15"/>
  <c r="B187" i="15"/>
  <c r="X186" i="15"/>
  <c r="W186" i="15"/>
  <c r="Y186" i="15" s="1"/>
  <c r="U186" i="15"/>
  <c r="T186" i="15"/>
  <c r="S186" i="15"/>
  <c r="R186" i="15"/>
  <c r="O186" i="15"/>
  <c r="N186" i="15"/>
  <c r="M186" i="15"/>
  <c r="K186" i="15"/>
  <c r="J186" i="15"/>
  <c r="I186" i="15"/>
  <c r="H186" i="15"/>
  <c r="E186" i="15"/>
  <c r="D186" i="15"/>
  <c r="C186" i="15"/>
  <c r="B186" i="15"/>
  <c r="X185" i="15"/>
  <c r="W185" i="15"/>
  <c r="Y185" i="15" s="1"/>
  <c r="U185" i="15"/>
  <c r="T185" i="15"/>
  <c r="S185" i="15"/>
  <c r="R185" i="15"/>
  <c r="O185" i="15"/>
  <c r="N185" i="15"/>
  <c r="M185" i="15"/>
  <c r="K185" i="15"/>
  <c r="J185" i="15"/>
  <c r="I185" i="15"/>
  <c r="H185" i="15"/>
  <c r="E185" i="15"/>
  <c r="D185" i="15"/>
  <c r="C185" i="15"/>
  <c r="B185" i="15"/>
  <c r="X184" i="15"/>
  <c r="W184" i="15"/>
  <c r="Y184" i="15" s="1"/>
  <c r="U184" i="15"/>
  <c r="T184" i="15"/>
  <c r="S184" i="15"/>
  <c r="R184" i="15"/>
  <c r="O184" i="15"/>
  <c r="N184" i="15"/>
  <c r="M184" i="15"/>
  <c r="K184" i="15"/>
  <c r="J184" i="15"/>
  <c r="I184" i="15"/>
  <c r="H184" i="15"/>
  <c r="E184" i="15"/>
  <c r="D184" i="15"/>
  <c r="C184" i="15"/>
  <c r="B184" i="15"/>
  <c r="X183" i="15"/>
  <c r="W183" i="15"/>
  <c r="Y183" i="15" s="1"/>
  <c r="U183" i="15"/>
  <c r="T183" i="15"/>
  <c r="S183" i="15"/>
  <c r="R183" i="15"/>
  <c r="O183" i="15"/>
  <c r="N183" i="15"/>
  <c r="M183" i="15"/>
  <c r="K183" i="15"/>
  <c r="J183" i="15"/>
  <c r="I183" i="15"/>
  <c r="H183" i="15"/>
  <c r="E183" i="15"/>
  <c r="D183" i="15"/>
  <c r="C183" i="15"/>
  <c r="B183" i="15"/>
  <c r="X182" i="15"/>
  <c r="W182" i="15"/>
  <c r="Y182" i="15" s="1"/>
  <c r="U182" i="15"/>
  <c r="T182" i="15"/>
  <c r="S182" i="15"/>
  <c r="R182" i="15"/>
  <c r="O182" i="15"/>
  <c r="N182" i="15"/>
  <c r="M182" i="15"/>
  <c r="K182" i="15"/>
  <c r="J182" i="15"/>
  <c r="I182" i="15"/>
  <c r="H182" i="15"/>
  <c r="E182" i="15"/>
  <c r="D182" i="15"/>
  <c r="C182" i="15"/>
  <c r="B182" i="15"/>
  <c r="X181" i="15"/>
  <c r="W181" i="15"/>
  <c r="Y181" i="15" s="1"/>
  <c r="U181" i="15"/>
  <c r="T181" i="15"/>
  <c r="S181" i="15"/>
  <c r="R181" i="15"/>
  <c r="O181" i="15"/>
  <c r="N181" i="15"/>
  <c r="M181" i="15"/>
  <c r="K181" i="15"/>
  <c r="J181" i="15"/>
  <c r="I181" i="15"/>
  <c r="H181" i="15"/>
  <c r="E181" i="15"/>
  <c r="D181" i="15"/>
  <c r="C181" i="15"/>
  <c r="B181" i="15"/>
  <c r="X180" i="15"/>
  <c r="W180" i="15"/>
  <c r="Y180" i="15" s="1"/>
  <c r="U180" i="15"/>
  <c r="T180" i="15"/>
  <c r="S180" i="15"/>
  <c r="R180" i="15"/>
  <c r="O180" i="15"/>
  <c r="N180" i="15"/>
  <c r="M180" i="15"/>
  <c r="K180" i="15"/>
  <c r="J180" i="15"/>
  <c r="I180" i="15"/>
  <c r="H180" i="15"/>
  <c r="E180" i="15"/>
  <c r="D180" i="15"/>
  <c r="C180" i="15"/>
  <c r="B180" i="15"/>
  <c r="X179" i="15"/>
  <c r="W179" i="15"/>
  <c r="Y179" i="15" s="1"/>
  <c r="U179" i="15"/>
  <c r="T179" i="15"/>
  <c r="S179" i="15"/>
  <c r="R179" i="15"/>
  <c r="O179" i="15"/>
  <c r="N179" i="15"/>
  <c r="M179" i="15"/>
  <c r="K179" i="15"/>
  <c r="J179" i="15"/>
  <c r="I179" i="15"/>
  <c r="H179" i="15"/>
  <c r="E179" i="15"/>
  <c r="D179" i="15"/>
  <c r="C179" i="15"/>
  <c r="B179" i="15"/>
  <c r="X178" i="15"/>
  <c r="W178" i="15"/>
  <c r="Y178" i="15" s="1"/>
  <c r="U178" i="15"/>
  <c r="T178" i="15"/>
  <c r="S178" i="15"/>
  <c r="R178" i="15"/>
  <c r="O178" i="15"/>
  <c r="N178" i="15"/>
  <c r="M178" i="15"/>
  <c r="K178" i="15"/>
  <c r="J178" i="15"/>
  <c r="I178" i="15"/>
  <c r="H178" i="15"/>
  <c r="E178" i="15"/>
  <c r="D178" i="15"/>
  <c r="C178" i="15"/>
  <c r="B178" i="15"/>
  <c r="X177" i="15"/>
  <c r="W177" i="15"/>
  <c r="Y177" i="15" s="1"/>
  <c r="U177" i="15"/>
  <c r="T177" i="15"/>
  <c r="S177" i="15"/>
  <c r="R177" i="15"/>
  <c r="O177" i="15"/>
  <c r="N177" i="15"/>
  <c r="M177" i="15"/>
  <c r="K177" i="15"/>
  <c r="J177" i="15"/>
  <c r="I177" i="15"/>
  <c r="H177" i="15"/>
  <c r="E177" i="15"/>
  <c r="D177" i="15"/>
  <c r="C177" i="15"/>
  <c r="B177" i="15"/>
  <c r="X176" i="15"/>
  <c r="W176" i="15"/>
  <c r="Y176" i="15" s="1"/>
  <c r="U176" i="15"/>
  <c r="T176" i="15"/>
  <c r="S176" i="15"/>
  <c r="R176" i="15"/>
  <c r="O176" i="15"/>
  <c r="N176" i="15"/>
  <c r="M176" i="15"/>
  <c r="K176" i="15"/>
  <c r="J176" i="15"/>
  <c r="I176" i="15"/>
  <c r="H176" i="15"/>
  <c r="E176" i="15"/>
  <c r="D176" i="15"/>
  <c r="C176" i="15"/>
  <c r="B176" i="15"/>
  <c r="X175" i="15"/>
  <c r="W175" i="15"/>
  <c r="Y175" i="15" s="1"/>
  <c r="U175" i="15"/>
  <c r="T175" i="15"/>
  <c r="S175" i="15"/>
  <c r="R175" i="15"/>
  <c r="O175" i="15"/>
  <c r="N175" i="15"/>
  <c r="M175" i="15"/>
  <c r="K175" i="15"/>
  <c r="J175" i="15"/>
  <c r="I175" i="15"/>
  <c r="H175" i="15"/>
  <c r="E175" i="15"/>
  <c r="D175" i="15"/>
  <c r="C175" i="15"/>
  <c r="B175" i="15"/>
  <c r="X174" i="15"/>
  <c r="W174" i="15"/>
  <c r="Y174" i="15" s="1"/>
  <c r="U174" i="15"/>
  <c r="T174" i="15"/>
  <c r="S174" i="15"/>
  <c r="R174" i="15"/>
  <c r="O174" i="15"/>
  <c r="N174" i="15"/>
  <c r="M174" i="15"/>
  <c r="K174" i="15"/>
  <c r="J174" i="15"/>
  <c r="I174" i="15"/>
  <c r="H174" i="15"/>
  <c r="E174" i="15"/>
  <c r="D174" i="15"/>
  <c r="C174" i="15"/>
  <c r="B174" i="15"/>
  <c r="Y173" i="15"/>
  <c r="X173" i="15"/>
  <c r="W173" i="15"/>
  <c r="U173" i="15"/>
  <c r="T173" i="15"/>
  <c r="S173" i="15"/>
  <c r="R173" i="15"/>
  <c r="O173" i="15"/>
  <c r="N173" i="15"/>
  <c r="M173" i="15"/>
  <c r="K173" i="15"/>
  <c r="J173" i="15"/>
  <c r="I173" i="15"/>
  <c r="H173" i="15"/>
  <c r="E173" i="15"/>
  <c r="D173" i="15"/>
  <c r="C173" i="15"/>
  <c r="B173" i="15"/>
  <c r="X172" i="15"/>
  <c r="W172" i="15"/>
  <c r="Y172" i="15" s="1"/>
  <c r="U172" i="15"/>
  <c r="T172" i="15"/>
  <c r="S172" i="15"/>
  <c r="R172" i="15"/>
  <c r="O172" i="15"/>
  <c r="N172" i="15"/>
  <c r="M172" i="15"/>
  <c r="K172" i="15"/>
  <c r="J172" i="15"/>
  <c r="I172" i="15"/>
  <c r="H172" i="15"/>
  <c r="E172" i="15"/>
  <c r="D172" i="15"/>
  <c r="C172" i="15"/>
  <c r="B172" i="15"/>
  <c r="X171" i="15"/>
  <c r="W171" i="15"/>
  <c r="Y171" i="15" s="1"/>
  <c r="U171" i="15"/>
  <c r="T171" i="15"/>
  <c r="S171" i="15"/>
  <c r="R171" i="15"/>
  <c r="O171" i="15"/>
  <c r="N171" i="15"/>
  <c r="M171" i="15"/>
  <c r="K171" i="15"/>
  <c r="J171" i="15"/>
  <c r="I171" i="15"/>
  <c r="H171" i="15"/>
  <c r="E171" i="15"/>
  <c r="D171" i="15"/>
  <c r="C171" i="15"/>
  <c r="B171" i="15"/>
  <c r="X170" i="15"/>
  <c r="W170" i="15"/>
  <c r="Y170" i="15" s="1"/>
  <c r="U170" i="15"/>
  <c r="T170" i="15"/>
  <c r="S170" i="15"/>
  <c r="R170" i="15"/>
  <c r="O170" i="15"/>
  <c r="N170" i="15"/>
  <c r="M170" i="15"/>
  <c r="K170" i="15"/>
  <c r="J170" i="15"/>
  <c r="I170" i="15"/>
  <c r="H170" i="15"/>
  <c r="E170" i="15"/>
  <c r="D170" i="15"/>
  <c r="C170" i="15"/>
  <c r="B170" i="15"/>
  <c r="X169" i="15"/>
  <c r="W169" i="15"/>
  <c r="Y169" i="15" s="1"/>
  <c r="U169" i="15"/>
  <c r="T169" i="15"/>
  <c r="S169" i="15"/>
  <c r="R169" i="15"/>
  <c r="O169" i="15"/>
  <c r="N169" i="15"/>
  <c r="M169" i="15"/>
  <c r="K169" i="15"/>
  <c r="J169" i="15"/>
  <c r="I169" i="15"/>
  <c r="H169" i="15"/>
  <c r="E169" i="15"/>
  <c r="D169" i="15"/>
  <c r="C169" i="15"/>
  <c r="B169" i="15"/>
  <c r="X168" i="15"/>
  <c r="W168" i="15"/>
  <c r="Y168" i="15" s="1"/>
  <c r="U168" i="15"/>
  <c r="T168" i="15"/>
  <c r="S168" i="15"/>
  <c r="R168" i="15"/>
  <c r="O168" i="15"/>
  <c r="N168" i="15"/>
  <c r="M168" i="15"/>
  <c r="K168" i="15"/>
  <c r="J168" i="15"/>
  <c r="I168" i="15"/>
  <c r="H168" i="15"/>
  <c r="E168" i="15"/>
  <c r="D168" i="15"/>
  <c r="C168" i="15"/>
  <c r="B168" i="15"/>
  <c r="X167" i="15"/>
  <c r="W167" i="15"/>
  <c r="Y167" i="15" s="1"/>
  <c r="U167" i="15"/>
  <c r="T167" i="15"/>
  <c r="S167" i="15"/>
  <c r="R167" i="15"/>
  <c r="O167" i="15"/>
  <c r="N167" i="15"/>
  <c r="M167" i="15"/>
  <c r="K167" i="15"/>
  <c r="J167" i="15"/>
  <c r="I167" i="15"/>
  <c r="H167" i="15"/>
  <c r="E167" i="15"/>
  <c r="D167" i="15"/>
  <c r="C167" i="15"/>
  <c r="B167" i="15"/>
  <c r="X166" i="15"/>
  <c r="W166" i="15"/>
  <c r="Y166" i="15" s="1"/>
  <c r="U166" i="15"/>
  <c r="T166" i="15"/>
  <c r="S166" i="15"/>
  <c r="R166" i="15"/>
  <c r="O166" i="15"/>
  <c r="N166" i="15"/>
  <c r="M166" i="15"/>
  <c r="K166" i="15"/>
  <c r="J166" i="15"/>
  <c r="I166" i="15"/>
  <c r="H166" i="15"/>
  <c r="E166" i="15"/>
  <c r="D166" i="15"/>
  <c r="C166" i="15"/>
  <c r="B166" i="15"/>
  <c r="X165" i="15"/>
  <c r="W165" i="15"/>
  <c r="Y165" i="15" s="1"/>
  <c r="U165" i="15"/>
  <c r="T165" i="15"/>
  <c r="S165" i="15"/>
  <c r="R165" i="15"/>
  <c r="O165" i="15"/>
  <c r="N165" i="15"/>
  <c r="M165" i="15"/>
  <c r="K165" i="15"/>
  <c r="J165" i="15"/>
  <c r="I165" i="15"/>
  <c r="H165" i="15"/>
  <c r="E165" i="15"/>
  <c r="D165" i="15"/>
  <c r="C165" i="15"/>
  <c r="B165" i="15"/>
  <c r="X164" i="15"/>
  <c r="W164" i="15"/>
  <c r="Y164" i="15" s="1"/>
  <c r="U164" i="15"/>
  <c r="T164" i="15"/>
  <c r="S164" i="15"/>
  <c r="R164" i="15"/>
  <c r="O164" i="15"/>
  <c r="N164" i="15"/>
  <c r="M164" i="15"/>
  <c r="K164" i="15"/>
  <c r="J164" i="15"/>
  <c r="I164" i="15"/>
  <c r="H164" i="15"/>
  <c r="E164" i="15"/>
  <c r="D164" i="15"/>
  <c r="C164" i="15"/>
  <c r="B164" i="15"/>
  <c r="X163" i="15"/>
  <c r="W163" i="15"/>
  <c r="Y163" i="15" s="1"/>
  <c r="U163" i="15"/>
  <c r="T163" i="15"/>
  <c r="S163" i="15"/>
  <c r="R163" i="15"/>
  <c r="O163" i="15"/>
  <c r="N163" i="15"/>
  <c r="M163" i="15"/>
  <c r="K163" i="15"/>
  <c r="J163" i="15"/>
  <c r="I163" i="15"/>
  <c r="H163" i="15"/>
  <c r="E163" i="15"/>
  <c r="D163" i="15"/>
  <c r="C163" i="15"/>
  <c r="B163" i="15"/>
  <c r="X162" i="15"/>
  <c r="W162" i="15"/>
  <c r="Y162" i="15" s="1"/>
  <c r="U162" i="15"/>
  <c r="T162" i="15"/>
  <c r="S162" i="15"/>
  <c r="R162" i="15"/>
  <c r="O162" i="15"/>
  <c r="N162" i="15"/>
  <c r="M162" i="15"/>
  <c r="K162" i="15"/>
  <c r="J162" i="15"/>
  <c r="I162" i="15"/>
  <c r="H162" i="15"/>
  <c r="E162" i="15"/>
  <c r="D162" i="15"/>
  <c r="C162" i="15"/>
  <c r="B162" i="15"/>
  <c r="X161" i="15"/>
  <c r="W161" i="15"/>
  <c r="Y161" i="15" s="1"/>
  <c r="U161" i="15"/>
  <c r="T161" i="15"/>
  <c r="S161" i="15"/>
  <c r="R161" i="15"/>
  <c r="O161" i="15"/>
  <c r="N161" i="15"/>
  <c r="M161" i="15"/>
  <c r="K161" i="15"/>
  <c r="J161" i="15"/>
  <c r="I161" i="15"/>
  <c r="H161" i="15"/>
  <c r="E161" i="15"/>
  <c r="D161" i="15"/>
  <c r="C161" i="15"/>
  <c r="B161" i="15"/>
  <c r="X160" i="15"/>
  <c r="W160" i="15"/>
  <c r="Y160" i="15" s="1"/>
  <c r="U160" i="15"/>
  <c r="T160" i="15"/>
  <c r="S160" i="15"/>
  <c r="R160" i="15"/>
  <c r="O160" i="15"/>
  <c r="N160" i="15"/>
  <c r="M160" i="15"/>
  <c r="K160" i="15"/>
  <c r="J160" i="15"/>
  <c r="I160" i="15"/>
  <c r="H160" i="15"/>
  <c r="E160" i="15"/>
  <c r="D160" i="15"/>
  <c r="C160" i="15"/>
  <c r="B160" i="15"/>
  <c r="X159" i="15"/>
  <c r="W159" i="15"/>
  <c r="Y159" i="15" s="1"/>
  <c r="U159" i="15"/>
  <c r="T159" i="15"/>
  <c r="S159" i="15"/>
  <c r="R159" i="15"/>
  <c r="O159" i="15"/>
  <c r="N159" i="15"/>
  <c r="M159" i="15"/>
  <c r="K159" i="15"/>
  <c r="J159" i="15"/>
  <c r="I159" i="15"/>
  <c r="H159" i="15"/>
  <c r="E159" i="15"/>
  <c r="D159" i="15"/>
  <c r="C159" i="15"/>
  <c r="B159" i="15"/>
  <c r="X158" i="15"/>
  <c r="W158" i="15"/>
  <c r="Y158" i="15" s="1"/>
  <c r="U158" i="15"/>
  <c r="T158" i="15"/>
  <c r="S158" i="15"/>
  <c r="R158" i="15"/>
  <c r="O158" i="15"/>
  <c r="N158" i="15"/>
  <c r="M158" i="15"/>
  <c r="K158" i="15"/>
  <c r="J158" i="15"/>
  <c r="I158" i="15"/>
  <c r="H158" i="15"/>
  <c r="E158" i="15"/>
  <c r="D158" i="15"/>
  <c r="C158" i="15"/>
  <c r="B158" i="15"/>
  <c r="X157" i="15"/>
  <c r="W157" i="15"/>
  <c r="Y157" i="15" s="1"/>
  <c r="U157" i="15"/>
  <c r="T157" i="15"/>
  <c r="S157" i="15"/>
  <c r="R157" i="15"/>
  <c r="O157" i="15"/>
  <c r="N157" i="15"/>
  <c r="M157" i="15"/>
  <c r="K157" i="15"/>
  <c r="J157" i="15"/>
  <c r="I157" i="15"/>
  <c r="H157" i="15"/>
  <c r="E157" i="15"/>
  <c r="D157" i="15"/>
  <c r="C157" i="15"/>
  <c r="B157" i="15"/>
  <c r="X156" i="15"/>
  <c r="W156" i="15"/>
  <c r="Y156" i="15" s="1"/>
  <c r="U156" i="15"/>
  <c r="T156" i="15"/>
  <c r="S156" i="15"/>
  <c r="R156" i="15"/>
  <c r="O156" i="15"/>
  <c r="N156" i="15"/>
  <c r="M156" i="15"/>
  <c r="K156" i="15"/>
  <c r="J156" i="15"/>
  <c r="I156" i="15"/>
  <c r="H156" i="15"/>
  <c r="E156" i="15"/>
  <c r="D156" i="15"/>
  <c r="C156" i="15"/>
  <c r="B156" i="15"/>
  <c r="X155" i="15"/>
  <c r="W155" i="15"/>
  <c r="Y155" i="15" s="1"/>
  <c r="U155" i="15"/>
  <c r="T155" i="15"/>
  <c r="S155" i="15"/>
  <c r="R155" i="15"/>
  <c r="O155" i="15"/>
  <c r="N155" i="15"/>
  <c r="M155" i="15"/>
  <c r="K155" i="15"/>
  <c r="J155" i="15"/>
  <c r="I155" i="15"/>
  <c r="H155" i="15"/>
  <c r="E155" i="15"/>
  <c r="D155" i="15"/>
  <c r="C155" i="15"/>
  <c r="B155" i="15"/>
  <c r="X154" i="15"/>
  <c r="W154" i="15"/>
  <c r="Y154" i="15" s="1"/>
  <c r="U154" i="15"/>
  <c r="T154" i="15"/>
  <c r="S154" i="15"/>
  <c r="R154" i="15"/>
  <c r="O154" i="15"/>
  <c r="N154" i="15"/>
  <c r="M154" i="15"/>
  <c r="K154" i="15"/>
  <c r="J154" i="15"/>
  <c r="I154" i="15"/>
  <c r="H154" i="15"/>
  <c r="E154" i="15"/>
  <c r="D154" i="15"/>
  <c r="C154" i="15"/>
  <c r="B154" i="15"/>
  <c r="X153" i="15"/>
  <c r="W153" i="15"/>
  <c r="Y153" i="15" s="1"/>
  <c r="U153" i="15"/>
  <c r="T153" i="15"/>
  <c r="S153" i="15"/>
  <c r="R153" i="15"/>
  <c r="O153" i="15"/>
  <c r="N153" i="15"/>
  <c r="M153" i="15"/>
  <c r="K153" i="15"/>
  <c r="J153" i="15"/>
  <c r="I153" i="15"/>
  <c r="H153" i="15"/>
  <c r="E153" i="15"/>
  <c r="D153" i="15"/>
  <c r="C153" i="15"/>
  <c r="B153" i="15"/>
  <c r="X152" i="15"/>
  <c r="W152" i="15"/>
  <c r="Y152" i="15" s="1"/>
  <c r="U152" i="15"/>
  <c r="T152" i="15"/>
  <c r="S152" i="15"/>
  <c r="R152" i="15"/>
  <c r="O152" i="15"/>
  <c r="N152" i="15"/>
  <c r="M152" i="15"/>
  <c r="K152" i="15"/>
  <c r="J152" i="15"/>
  <c r="I152" i="15"/>
  <c r="H152" i="15"/>
  <c r="E152" i="15"/>
  <c r="D152" i="15"/>
  <c r="C152" i="15"/>
  <c r="B152" i="15"/>
  <c r="X151" i="15"/>
  <c r="W151" i="15"/>
  <c r="Y151" i="15" s="1"/>
  <c r="U151" i="15"/>
  <c r="T151" i="15"/>
  <c r="S151" i="15"/>
  <c r="R151" i="15"/>
  <c r="O151" i="15"/>
  <c r="N151" i="15"/>
  <c r="M151" i="15"/>
  <c r="K151" i="15"/>
  <c r="J151" i="15"/>
  <c r="I151" i="15"/>
  <c r="H151" i="15"/>
  <c r="E151" i="15"/>
  <c r="D151" i="15"/>
  <c r="C151" i="15"/>
  <c r="B151" i="15"/>
  <c r="X150" i="15"/>
  <c r="W150" i="15"/>
  <c r="Y150" i="15" s="1"/>
  <c r="U150" i="15"/>
  <c r="T150" i="15"/>
  <c r="S150" i="15"/>
  <c r="R150" i="15"/>
  <c r="O150" i="15"/>
  <c r="N150" i="15"/>
  <c r="M150" i="15"/>
  <c r="K150" i="15"/>
  <c r="J150" i="15"/>
  <c r="I150" i="15"/>
  <c r="H150" i="15"/>
  <c r="E150" i="15"/>
  <c r="D150" i="15"/>
  <c r="C150" i="15"/>
  <c r="B150" i="15"/>
  <c r="X149" i="15"/>
  <c r="W149" i="15"/>
  <c r="Y149" i="15" s="1"/>
  <c r="U149" i="15"/>
  <c r="T149" i="15"/>
  <c r="S149" i="15"/>
  <c r="R149" i="15"/>
  <c r="O149" i="15"/>
  <c r="N149" i="15"/>
  <c r="M149" i="15"/>
  <c r="K149" i="15"/>
  <c r="J149" i="15"/>
  <c r="I149" i="15"/>
  <c r="H149" i="15"/>
  <c r="E149" i="15"/>
  <c r="D149" i="15"/>
  <c r="C149" i="15"/>
  <c r="B149" i="15"/>
  <c r="X148" i="15"/>
  <c r="W148" i="15"/>
  <c r="Y148" i="15" s="1"/>
  <c r="U148" i="15"/>
  <c r="T148" i="15"/>
  <c r="S148" i="15"/>
  <c r="R148" i="15"/>
  <c r="O148" i="15"/>
  <c r="N148" i="15"/>
  <c r="M148" i="15"/>
  <c r="K148" i="15"/>
  <c r="J148" i="15"/>
  <c r="I148" i="15"/>
  <c r="H148" i="15"/>
  <c r="E148" i="15"/>
  <c r="D148" i="15"/>
  <c r="C148" i="15"/>
  <c r="B148" i="15"/>
  <c r="X147" i="15"/>
  <c r="W147" i="15"/>
  <c r="Y147" i="15" s="1"/>
  <c r="U147" i="15"/>
  <c r="T147" i="15"/>
  <c r="S147" i="15"/>
  <c r="R147" i="15"/>
  <c r="O147" i="15"/>
  <c r="N147" i="15"/>
  <c r="M147" i="15"/>
  <c r="K147" i="15"/>
  <c r="J147" i="15"/>
  <c r="I147" i="15"/>
  <c r="H147" i="15"/>
  <c r="E147" i="15"/>
  <c r="D147" i="15"/>
  <c r="C147" i="15"/>
  <c r="B147" i="15"/>
  <c r="X146" i="15"/>
  <c r="W146" i="15"/>
  <c r="Y146" i="15" s="1"/>
  <c r="U146" i="15"/>
  <c r="T146" i="15"/>
  <c r="S146" i="15"/>
  <c r="R146" i="15"/>
  <c r="O146" i="15"/>
  <c r="N146" i="15"/>
  <c r="M146" i="15"/>
  <c r="K146" i="15"/>
  <c r="J146" i="15"/>
  <c r="I146" i="15"/>
  <c r="H146" i="15"/>
  <c r="E146" i="15"/>
  <c r="D146" i="15"/>
  <c r="C146" i="15"/>
  <c r="B146" i="15"/>
  <c r="X145" i="15"/>
  <c r="W145" i="15"/>
  <c r="Y145" i="15" s="1"/>
  <c r="U145" i="15"/>
  <c r="T145" i="15"/>
  <c r="S145" i="15"/>
  <c r="R145" i="15"/>
  <c r="O145" i="15"/>
  <c r="N145" i="15"/>
  <c r="M145" i="15"/>
  <c r="K145" i="15"/>
  <c r="J145" i="15"/>
  <c r="I145" i="15"/>
  <c r="H145" i="15"/>
  <c r="E145" i="15"/>
  <c r="D145" i="15"/>
  <c r="C145" i="15"/>
  <c r="B145" i="15"/>
  <c r="X144" i="15"/>
  <c r="W144" i="15"/>
  <c r="Y144" i="15" s="1"/>
  <c r="U144" i="15"/>
  <c r="T144" i="15"/>
  <c r="S144" i="15"/>
  <c r="R144" i="15"/>
  <c r="O144" i="15"/>
  <c r="N144" i="15"/>
  <c r="M144" i="15"/>
  <c r="K144" i="15"/>
  <c r="J144" i="15"/>
  <c r="I144" i="15"/>
  <c r="H144" i="15"/>
  <c r="E144" i="15"/>
  <c r="D144" i="15"/>
  <c r="C144" i="15"/>
  <c r="B144" i="15"/>
  <c r="X143" i="15"/>
  <c r="W143" i="15"/>
  <c r="Y143" i="15" s="1"/>
  <c r="U143" i="15"/>
  <c r="T143" i="15"/>
  <c r="S143" i="15"/>
  <c r="R143" i="15"/>
  <c r="O143" i="15"/>
  <c r="N143" i="15"/>
  <c r="M143" i="15"/>
  <c r="K143" i="15"/>
  <c r="J143" i="15"/>
  <c r="I143" i="15"/>
  <c r="H143" i="15"/>
  <c r="E143" i="15"/>
  <c r="D143" i="15"/>
  <c r="C143" i="15"/>
  <c r="B143" i="15"/>
  <c r="X142" i="15"/>
  <c r="W142" i="15"/>
  <c r="Y142" i="15" s="1"/>
  <c r="U142" i="15"/>
  <c r="T142" i="15"/>
  <c r="S142" i="15"/>
  <c r="R142" i="15"/>
  <c r="O142" i="15"/>
  <c r="N142" i="15"/>
  <c r="M142" i="15"/>
  <c r="K142" i="15"/>
  <c r="J142" i="15"/>
  <c r="I142" i="15"/>
  <c r="H142" i="15"/>
  <c r="E142" i="15"/>
  <c r="D142" i="15"/>
  <c r="C142" i="15"/>
  <c r="B142" i="15"/>
  <c r="X141" i="15"/>
  <c r="W141" i="15"/>
  <c r="Y141" i="15" s="1"/>
  <c r="U141" i="15"/>
  <c r="T141" i="15"/>
  <c r="S141" i="15"/>
  <c r="R141" i="15"/>
  <c r="O141" i="15"/>
  <c r="N141" i="15"/>
  <c r="M141" i="15"/>
  <c r="K141" i="15"/>
  <c r="J141" i="15"/>
  <c r="I141" i="15"/>
  <c r="H141" i="15"/>
  <c r="E141" i="15"/>
  <c r="D141" i="15"/>
  <c r="C141" i="15"/>
  <c r="B141" i="15"/>
  <c r="X140" i="15"/>
  <c r="W140" i="15"/>
  <c r="Y140" i="15" s="1"/>
  <c r="U140" i="15"/>
  <c r="T140" i="15"/>
  <c r="S140" i="15"/>
  <c r="R140" i="15"/>
  <c r="O140" i="15"/>
  <c r="N140" i="15"/>
  <c r="M140" i="15"/>
  <c r="K140" i="15"/>
  <c r="J140" i="15"/>
  <c r="I140" i="15"/>
  <c r="H140" i="15"/>
  <c r="E140" i="15"/>
  <c r="D140" i="15"/>
  <c r="C140" i="15"/>
  <c r="B140" i="15"/>
  <c r="X139" i="15"/>
  <c r="W139" i="15"/>
  <c r="Y139" i="15" s="1"/>
  <c r="U139" i="15"/>
  <c r="T139" i="15"/>
  <c r="S139" i="15"/>
  <c r="R139" i="15"/>
  <c r="O139" i="15"/>
  <c r="N139" i="15"/>
  <c r="M139" i="15"/>
  <c r="K139" i="15"/>
  <c r="J139" i="15"/>
  <c r="I139" i="15"/>
  <c r="H139" i="15"/>
  <c r="E139" i="15"/>
  <c r="D139" i="15"/>
  <c r="C139" i="15"/>
  <c r="B139" i="15"/>
  <c r="X138" i="15"/>
  <c r="W138" i="15"/>
  <c r="Y138" i="15" s="1"/>
  <c r="U138" i="15"/>
  <c r="T138" i="15"/>
  <c r="S138" i="15"/>
  <c r="R138" i="15"/>
  <c r="O138" i="15"/>
  <c r="N138" i="15"/>
  <c r="M138" i="15"/>
  <c r="K138" i="15"/>
  <c r="J138" i="15"/>
  <c r="I138" i="15"/>
  <c r="H138" i="15"/>
  <c r="E138" i="15"/>
  <c r="D138" i="15"/>
  <c r="C138" i="15"/>
  <c r="B138" i="15"/>
  <c r="X137" i="15"/>
  <c r="W137" i="15"/>
  <c r="Y137" i="15" s="1"/>
  <c r="U137" i="15"/>
  <c r="T137" i="15"/>
  <c r="S137" i="15"/>
  <c r="R137" i="15"/>
  <c r="O137" i="15"/>
  <c r="N137" i="15"/>
  <c r="M137" i="15"/>
  <c r="K137" i="15"/>
  <c r="J137" i="15"/>
  <c r="I137" i="15"/>
  <c r="H137" i="15"/>
  <c r="E137" i="15"/>
  <c r="D137" i="15"/>
  <c r="C137" i="15"/>
  <c r="B137" i="15"/>
  <c r="X136" i="15"/>
  <c r="W136" i="15"/>
  <c r="Y136" i="15" s="1"/>
  <c r="U136" i="15"/>
  <c r="T136" i="15"/>
  <c r="S136" i="15"/>
  <c r="R136" i="15"/>
  <c r="O136" i="15"/>
  <c r="N136" i="15"/>
  <c r="M136" i="15"/>
  <c r="K136" i="15"/>
  <c r="J136" i="15"/>
  <c r="I136" i="15"/>
  <c r="H136" i="15"/>
  <c r="E136" i="15"/>
  <c r="D136" i="15"/>
  <c r="C136" i="15"/>
  <c r="B136" i="15"/>
  <c r="X135" i="15"/>
  <c r="W135" i="15"/>
  <c r="Y135" i="15" s="1"/>
  <c r="U135" i="15"/>
  <c r="T135" i="15"/>
  <c r="S135" i="15"/>
  <c r="R135" i="15"/>
  <c r="O135" i="15"/>
  <c r="N135" i="15"/>
  <c r="M135" i="15"/>
  <c r="K135" i="15"/>
  <c r="J135" i="15"/>
  <c r="I135" i="15"/>
  <c r="H135" i="15"/>
  <c r="E135" i="15"/>
  <c r="D135" i="15"/>
  <c r="C135" i="15"/>
  <c r="B135" i="15"/>
  <c r="X134" i="15"/>
  <c r="W134" i="15"/>
  <c r="Y134" i="15" s="1"/>
  <c r="U134" i="15"/>
  <c r="T134" i="15"/>
  <c r="S134" i="15"/>
  <c r="R134" i="15"/>
  <c r="O134" i="15"/>
  <c r="N134" i="15"/>
  <c r="M134" i="15"/>
  <c r="K134" i="15"/>
  <c r="J134" i="15"/>
  <c r="I134" i="15"/>
  <c r="H134" i="15"/>
  <c r="E134" i="15"/>
  <c r="D134" i="15"/>
  <c r="C134" i="15"/>
  <c r="B134" i="15"/>
  <c r="X133" i="15"/>
  <c r="W133" i="15"/>
  <c r="Y133" i="15" s="1"/>
  <c r="U133" i="15"/>
  <c r="T133" i="15"/>
  <c r="S133" i="15"/>
  <c r="R133" i="15"/>
  <c r="O133" i="15"/>
  <c r="N133" i="15"/>
  <c r="M133" i="15"/>
  <c r="K133" i="15"/>
  <c r="J133" i="15"/>
  <c r="I133" i="15"/>
  <c r="H133" i="15"/>
  <c r="E133" i="15"/>
  <c r="D133" i="15"/>
  <c r="C133" i="15"/>
  <c r="B133" i="15"/>
  <c r="X132" i="15"/>
  <c r="W132" i="15"/>
  <c r="Y132" i="15" s="1"/>
  <c r="U132" i="15"/>
  <c r="T132" i="15"/>
  <c r="S132" i="15"/>
  <c r="R132" i="15"/>
  <c r="O132" i="15"/>
  <c r="N132" i="15"/>
  <c r="M132" i="15"/>
  <c r="K132" i="15"/>
  <c r="J132" i="15"/>
  <c r="I132" i="15"/>
  <c r="H132" i="15"/>
  <c r="E132" i="15"/>
  <c r="D132" i="15"/>
  <c r="C132" i="15"/>
  <c r="B132" i="15"/>
  <c r="X131" i="15"/>
  <c r="W131" i="15"/>
  <c r="Y131" i="15" s="1"/>
  <c r="U131" i="15"/>
  <c r="T131" i="15"/>
  <c r="S131" i="15"/>
  <c r="R131" i="15"/>
  <c r="O131" i="15"/>
  <c r="N131" i="15"/>
  <c r="M131" i="15"/>
  <c r="K131" i="15"/>
  <c r="J131" i="15"/>
  <c r="I131" i="15"/>
  <c r="H131" i="15"/>
  <c r="E131" i="15"/>
  <c r="D131" i="15"/>
  <c r="C131" i="15"/>
  <c r="B131" i="15"/>
  <c r="X130" i="15"/>
  <c r="W130" i="15"/>
  <c r="Y130" i="15" s="1"/>
  <c r="U130" i="15"/>
  <c r="T130" i="15"/>
  <c r="S130" i="15"/>
  <c r="R130" i="15"/>
  <c r="O130" i="15"/>
  <c r="N130" i="15"/>
  <c r="M130" i="15"/>
  <c r="K130" i="15"/>
  <c r="J130" i="15"/>
  <c r="I130" i="15"/>
  <c r="H130" i="15"/>
  <c r="E130" i="15"/>
  <c r="D130" i="15"/>
  <c r="C130" i="15"/>
  <c r="B130" i="15"/>
  <c r="X129" i="15"/>
  <c r="W129" i="15"/>
  <c r="Y129" i="15" s="1"/>
  <c r="U129" i="15"/>
  <c r="T129" i="15"/>
  <c r="S129" i="15"/>
  <c r="R129" i="15"/>
  <c r="O129" i="15"/>
  <c r="N129" i="15"/>
  <c r="M129" i="15"/>
  <c r="K129" i="15"/>
  <c r="J129" i="15"/>
  <c r="I129" i="15"/>
  <c r="H129" i="15"/>
  <c r="E129" i="15"/>
  <c r="D129" i="15"/>
  <c r="C129" i="15"/>
  <c r="B129" i="15"/>
  <c r="X128" i="15"/>
  <c r="W128" i="15"/>
  <c r="Y128" i="15" s="1"/>
  <c r="U128" i="15"/>
  <c r="T128" i="15"/>
  <c r="S128" i="15"/>
  <c r="R128" i="15"/>
  <c r="O128" i="15"/>
  <c r="N128" i="15"/>
  <c r="M128" i="15"/>
  <c r="K128" i="15"/>
  <c r="J128" i="15"/>
  <c r="I128" i="15"/>
  <c r="H128" i="15"/>
  <c r="E128" i="15"/>
  <c r="D128" i="15"/>
  <c r="C128" i="15"/>
  <c r="B128" i="15"/>
  <c r="X127" i="15"/>
  <c r="W127" i="15"/>
  <c r="Y127" i="15" s="1"/>
  <c r="U127" i="15"/>
  <c r="T127" i="15"/>
  <c r="S127" i="15"/>
  <c r="R127" i="15"/>
  <c r="O127" i="15"/>
  <c r="N127" i="15"/>
  <c r="M127" i="15"/>
  <c r="K127" i="15"/>
  <c r="J127" i="15"/>
  <c r="I127" i="15"/>
  <c r="H127" i="15"/>
  <c r="E127" i="15"/>
  <c r="D127" i="15"/>
  <c r="C127" i="15"/>
  <c r="B127" i="15"/>
  <c r="X126" i="15"/>
  <c r="W126" i="15"/>
  <c r="Y126" i="15" s="1"/>
  <c r="U126" i="15"/>
  <c r="T126" i="15"/>
  <c r="S126" i="15"/>
  <c r="R126" i="15"/>
  <c r="O126" i="15"/>
  <c r="N126" i="15"/>
  <c r="M126" i="15"/>
  <c r="K126" i="15"/>
  <c r="J126" i="15"/>
  <c r="I126" i="15"/>
  <c r="H126" i="15"/>
  <c r="E126" i="15"/>
  <c r="D126" i="15"/>
  <c r="C126" i="15"/>
  <c r="B126" i="15"/>
  <c r="X125" i="15"/>
  <c r="W125" i="15"/>
  <c r="Y125" i="15" s="1"/>
  <c r="U125" i="15"/>
  <c r="T125" i="15"/>
  <c r="S125" i="15"/>
  <c r="R125" i="15"/>
  <c r="O125" i="15"/>
  <c r="N125" i="15"/>
  <c r="M125" i="15"/>
  <c r="K125" i="15"/>
  <c r="J125" i="15"/>
  <c r="I125" i="15"/>
  <c r="H125" i="15"/>
  <c r="E125" i="15"/>
  <c r="D125" i="15"/>
  <c r="C125" i="15"/>
  <c r="B125" i="15"/>
  <c r="X124" i="15"/>
  <c r="W124" i="15"/>
  <c r="Y124" i="15" s="1"/>
  <c r="U124" i="15"/>
  <c r="T124" i="15"/>
  <c r="S124" i="15"/>
  <c r="R124" i="15"/>
  <c r="O124" i="15"/>
  <c r="N124" i="15"/>
  <c r="M124" i="15"/>
  <c r="K124" i="15"/>
  <c r="J124" i="15"/>
  <c r="I124" i="15"/>
  <c r="H124" i="15"/>
  <c r="E124" i="15"/>
  <c r="D124" i="15"/>
  <c r="C124" i="15"/>
  <c r="B124" i="15"/>
  <c r="X123" i="15"/>
  <c r="W123" i="15"/>
  <c r="Y123" i="15" s="1"/>
  <c r="U123" i="15"/>
  <c r="T123" i="15"/>
  <c r="S123" i="15"/>
  <c r="R123" i="15"/>
  <c r="O123" i="15"/>
  <c r="N123" i="15"/>
  <c r="M123" i="15"/>
  <c r="K123" i="15"/>
  <c r="J123" i="15"/>
  <c r="I123" i="15"/>
  <c r="H123" i="15"/>
  <c r="E123" i="15"/>
  <c r="D123" i="15"/>
  <c r="C123" i="15"/>
  <c r="B123" i="15"/>
  <c r="X122" i="15"/>
  <c r="W122" i="15"/>
  <c r="Y122" i="15" s="1"/>
  <c r="U122" i="15"/>
  <c r="T122" i="15"/>
  <c r="S122" i="15"/>
  <c r="R122" i="15"/>
  <c r="O122" i="15"/>
  <c r="N122" i="15"/>
  <c r="M122" i="15"/>
  <c r="K122" i="15"/>
  <c r="J122" i="15"/>
  <c r="I122" i="15"/>
  <c r="H122" i="15"/>
  <c r="E122" i="15"/>
  <c r="D122" i="15"/>
  <c r="C122" i="15"/>
  <c r="B122" i="15"/>
  <c r="X121" i="15"/>
  <c r="W121" i="15"/>
  <c r="Y121" i="15" s="1"/>
  <c r="U121" i="15"/>
  <c r="T121" i="15"/>
  <c r="S121" i="15"/>
  <c r="R121" i="15"/>
  <c r="O121" i="15"/>
  <c r="N121" i="15"/>
  <c r="M121" i="15"/>
  <c r="K121" i="15"/>
  <c r="J121" i="15"/>
  <c r="I121" i="15"/>
  <c r="H121" i="15"/>
  <c r="E121" i="15"/>
  <c r="D121" i="15"/>
  <c r="C121" i="15"/>
  <c r="B121" i="15"/>
  <c r="X120" i="15"/>
  <c r="W120" i="15"/>
  <c r="Y120" i="15" s="1"/>
  <c r="U120" i="15"/>
  <c r="T120" i="15"/>
  <c r="S120" i="15"/>
  <c r="R120" i="15"/>
  <c r="O120" i="15"/>
  <c r="N120" i="15"/>
  <c r="M120" i="15"/>
  <c r="K120" i="15"/>
  <c r="J120" i="15"/>
  <c r="I120" i="15"/>
  <c r="H120" i="15"/>
  <c r="E120" i="15"/>
  <c r="D120" i="15"/>
  <c r="C120" i="15"/>
  <c r="B120" i="15"/>
  <c r="X119" i="15"/>
  <c r="W119" i="15"/>
  <c r="Y119" i="15" s="1"/>
  <c r="U119" i="15"/>
  <c r="T119" i="15"/>
  <c r="S119" i="15"/>
  <c r="R119" i="15"/>
  <c r="O119" i="15"/>
  <c r="N119" i="15"/>
  <c r="M119" i="15"/>
  <c r="K119" i="15"/>
  <c r="J119" i="15"/>
  <c r="I119" i="15"/>
  <c r="H119" i="15"/>
  <c r="E119" i="15"/>
  <c r="D119" i="15"/>
  <c r="C119" i="15"/>
  <c r="B119" i="15"/>
  <c r="X118" i="15"/>
  <c r="W118" i="15"/>
  <c r="Y118" i="15" s="1"/>
  <c r="U118" i="15"/>
  <c r="T118" i="15"/>
  <c r="S118" i="15"/>
  <c r="R118" i="15"/>
  <c r="O118" i="15"/>
  <c r="N118" i="15"/>
  <c r="M118" i="15"/>
  <c r="K118" i="15"/>
  <c r="J118" i="15"/>
  <c r="I118" i="15"/>
  <c r="H118" i="15"/>
  <c r="E118" i="15"/>
  <c r="D118" i="15"/>
  <c r="C118" i="15"/>
  <c r="B118" i="15"/>
  <c r="X117" i="15"/>
  <c r="W117" i="15"/>
  <c r="Y117" i="15" s="1"/>
  <c r="U117" i="15"/>
  <c r="T117" i="15"/>
  <c r="S117" i="15"/>
  <c r="R117" i="15"/>
  <c r="O117" i="15"/>
  <c r="N117" i="15"/>
  <c r="M117" i="15"/>
  <c r="K117" i="15"/>
  <c r="J117" i="15"/>
  <c r="I117" i="15"/>
  <c r="H117" i="15"/>
  <c r="E117" i="15"/>
  <c r="D117" i="15"/>
  <c r="C117" i="15"/>
  <c r="B117" i="15"/>
  <c r="X116" i="15"/>
  <c r="W116" i="15"/>
  <c r="Y116" i="15" s="1"/>
  <c r="U116" i="15"/>
  <c r="T116" i="15"/>
  <c r="S116" i="15"/>
  <c r="R116" i="15"/>
  <c r="O116" i="15"/>
  <c r="N116" i="15"/>
  <c r="M116" i="15"/>
  <c r="K116" i="15"/>
  <c r="J116" i="15"/>
  <c r="I116" i="15"/>
  <c r="H116" i="15"/>
  <c r="E116" i="15"/>
  <c r="D116" i="15"/>
  <c r="C116" i="15"/>
  <c r="B116" i="15"/>
  <c r="X115" i="15"/>
  <c r="W115" i="15"/>
  <c r="Y115" i="15" s="1"/>
  <c r="U115" i="15"/>
  <c r="T115" i="15"/>
  <c r="S115" i="15"/>
  <c r="R115" i="15"/>
  <c r="O115" i="15"/>
  <c r="N115" i="15"/>
  <c r="M115" i="15"/>
  <c r="K115" i="15"/>
  <c r="J115" i="15"/>
  <c r="I115" i="15"/>
  <c r="H115" i="15"/>
  <c r="E115" i="15"/>
  <c r="D115" i="15"/>
  <c r="C115" i="15"/>
  <c r="B115" i="15"/>
  <c r="X114" i="15"/>
  <c r="W114" i="15"/>
  <c r="Y114" i="15" s="1"/>
  <c r="U114" i="15"/>
  <c r="T114" i="15"/>
  <c r="S114" i="15"/>
  <c r="R114" i="15"/>
  <c r="O114" i="15"/>
  <c r="N114" i="15"/>
  <c r="M114" i="15"/>
  <c r="K114" i="15"/>
  <c r="J114" i="15"/>
  <c r="I114" i="15"/>
  <c r="H114" i="15"/>
  <c r="E114" i="15"/>
  <c r="D114" i="15"/>
  <c r="C114" i="15"/>
  <c r="B114" i="15"/>
  <c r="X113" i="15"/>
  <c r="W113" i="15"/>
  <c r="Y113" i="15" s="1"/>
  <c r="U113" i="15"/>
  <c r="T113" i="15"/>
  <c r="S113" i="15"/>
  <c r="R113" i="15"/>
  <c r="O113" i="15"/>
  <c r="N113" i="15"/>
  <c r="M113" i="15"/>
  <c r="K113" i="15"/>
  <c r="J113" i="15"/>
  <c r="I113" i="15"/>
  <c r="H113" i="15"/>
  <c r="E113" i="15"/>
  <c r="D113" i="15"/>
  <c r="C113" i="15"/>
  <c r="B113" i="15"/>
  <c r="X112" i="15"/>
  <c r="W112" i="15"/>
  <c r="Y112" i="15" s="1"/>
  <c r="U112" i="15"/>
  <c r="T112" i="15"/>
  <c r="S112" i="15"/>
  <c r="R112" i="15"/>
  <c r="O112" i="15"/>
  <c r="N112" i="15"/>
  <c r="M112" i="15"/>
  <c r="K112" i="15"/>
  <c r="J112" i="15"/>
  <c r="I112" i="15"/>
  <c r="H112" i="15"/>
  <c r="E112" i="15"/>
  <c r="D112" i="15"/>
  <c r="C112" i="15"/>
  <c r="B112" i="15"/>
  <c r="X111" i="15"/>
  <c r="W111" i="15"/>
  <c r="Y111" i="15" s="1"/>
  <c r="U111" i="15"/>
  <c r="T111" i="15"/>
  <c r="S111" i="15"/>
  <c r="R111" i="15"/>
  <c r="O111" i="15"/>
  <c r="N111" i="15"/>
  <c r="M111" i="15"/>
  <c r="K111" i="15"/>
  <c r="J111" i="15"/>
  <c r="I111" i="15"/>
  <c r="H111" i="15"/>
  <c r="E111" i="15"/>
  <c r="D111" i="15"/>
  <c r="C111" i="15"/>
  <c r="B111" i="15"/>
  <c r="X110" i="15"/>
  <c r="W110" i="15"/>
  <c r="Y110" i="15" s="1"/>
  <c r="U110" i="15"/>
  <c r="T110" i="15"/>
  <c r="S110" i="15"/>
  <c r="R110" i="15"/>
  <c r="O110" i="15"/>
  <c r="N110" i="15"/>
  <c r="M110" i="15"/>
  <c r="K110" i="15"/>
  <c r="J110" i="15"/>
  <c r="I110" i="15"/>
  <c r="H110" i="15"/>
  <c r="E110" i="15"/>
  <c r="D110" i="15"/>
  <c r="C110" i="15"/>
  <c r="B110" i="15"/>
  <c r="X109" i="15"/>
  <c r="W109" i="15"/>
  <c r="Y109" i="15" s="1"/>
  <c r="U109" i="15"/>
  <c r="T109" i="15"/>
  <c r="S109" i="15"/>
  <c r="R109" i="15"/>
  <c r="O109" i="15"/>
  <c r="N109" i="15"/>
  <c r="M109" i="15"/>
  <c r="K109" i="15"/>
  <c r="J109" i="15"/>
  <c r="I109" i="15"/>
  <c r="H109" i="15"/>
  <c r="E109" i="15"/>
  <c r="D109" i="15"/>
  <c r="C109" i="15"/>
  <c r="B109" i="15"/>
  <c r="X108" i="15"/>
  <c r="W108" i="15"/>
  <c r="Y108" i="15" s="1"/>
  <c r="U108" i="15"/>
  <c r="T108" i="15"/>
  <c r="S108" i="15"/>
  <c r="R108" i="15"/>
  <c r="O108" i="15"/>
  <c r="N108" i="15"/>
  <c r="M108" i="15"/>
  <c r="K108" i="15"/>
  <c r="J108" i="15"/>
  <c r="I108" i="15"/>
  <c r="H108" i="15"/>
  <c r="E108" i="15"/>
  <c r="D108" i="15"/>
  <c r="C108" i="15"/>
  <c r="B108" i="15"/>
  <c r="X107" i="15"/>
  <c r="W107" i="15"/>
  <c r="Y107" i="15" s="1"/>
  <c r="U107" i="15"/>
  <c r="T107" i="15"/>
  <c r="S107" i="15"/>
  <c r="R107" i="15"/>
  <c r="O107" i="15"/>
  <c r="N107" i="15"/>
  <c r="M107" i="15"/>
  <c r="K107" i="15"/>
  <c r="J107" i="15"/>
  <c r="I107" i="15"/>
  <c r="H107" i="15"/>
  <c r="E107" i="15"/>
  <c r="D107" i="15"/>
  <c r="C107" i="15"/>
  <c r="B107" i="15"/>
  <c r="X106" i="15"/>
  <c r="W106" i="15"/>
  <c r="Y106" i="15" s="1"/>
  <c r="U106" i="15"/>
  <c r="T106" i="15"/>
  <c r="S106" i="15"/>
  <c r="R106" i="15"/>
  <c r="O106" i="15"/>
  <c r="N106" i="15"/>
  <c r="M106" i="15"/>
  <c r="K106" i="15"/>
  <c r="J106" i="15"/>
  <c r="I106" i="15"/>
  <c r="H106" i="15"/>
  <c r="E106" i="15"/>
  <c r="D106" i="15"/>
  <c r="C106" i="15"/>
  <c r="B106" i="15"/>
  <c r="X105" i="15"/>
  <c r="W105" i="15"/>
  <c r="Y105" i="15" s="1"/>
  <c r="U105" i="15"/>
  <c r="T105" i="15"/>
  <c r="S105" i="15"/>
  <c r="R105" i="15"/>
  <c r="O105" i="15"/>
  <c r="N105" i="15"/>
  <c r="M105" i="15"/>
  <c r="K105" i="15"/>
  <c r="J105" i="15"/>
  <c r="I105" i="15"/>
  <c r="H105" i="15"/>
  <c r="E105" i="15"/>
  <c r="D105" i="15"/>
  <c r="C105" i="15"/>
  <c r="B105" i="15"/>
  <c r="X104" i="15"/>
  <c r="W104" i="15"/>
  <c r="Y104" i="15" s="1"/>
  <c r="U104" i="15"/>
  <c r="T104" i="15"/>
  <c r="S104" i="15"/>
  <c r="R104" i="15"/>
  <c r="O104" i="15"/>
  <c r="N104" i="15"/>
  <c r="M104" i="15"/>
  <c r="K104" i="15"/>
  <c r="J104" i="15"/>
  <c r="I104" i="15"/>
  <c r="H104" i="15"/>
  <c r="E104" i="15"/>
  <c r="D104" i="15"/>
  <c r="C104" i="15"/>
  <c r="B104" i="15"/>
  <c r="X103" i="15"/>
  <c r="W103" i="15"/>
  <c r="Y103" i="15" s="1"/>
  <c r="U103" i="15"/>
  <c r="T103" i="15"/>
  <c r="S103" i="15"/>
  <c r="R103" i="15"/>
  <c r="O103" i="15"/>
  <c r="N103" i="15"/>
  <c r="M103" i="15"/>
  <c r="K103" i="15"/>
  <c r="J103" i="15"/>
  <c r="I103" i="15"/>
  <c r="H103" i="15"/>
  <c r="E103" i="15"/>
  <c r="D103" i="15"/>
  <c r="C103" i="15"/>
  <c r="B103" i="15"/>
  <c r="X102" i="15"/>
  <c r="W102" i="15"/>
  <c r="Y102" i="15" s="1"/>
  <c r="U102" i="15"/>
  <c r="T102" i="15"/>
  <c r="S102" i="15"/>
  <c r="R102" i="15"/>
  <c r="O102" i="15"/>
  <c r="N102" i="15"/>
  <c r="M102" i="15"/>
  <c r="K102" i="15"/>
  <c r="J102" i="15"/>
  <c r="I102" i="15"/>
  <c r="H102" i="15"/>
  <c r="E102" i="15"/>
  <c r="D102" i="15"/>
  <c r="C102" i="15"/>
  <c r="B102" i="15"/>
  <c r="X101" i="15"/>
  <c r="W101" i="15"/>
  <c r="Y101" i="15" s="1"/>
  <c r="U101" i="15"/>
  <c r="T101" i="15"/>
  <c r="S101" i="15"/>
  <c r="R101" i="15"/>
  <c r="O101" i="15"/>
  <c r="N101" i="15"/>
  <c r="M101" i="15"/>
  <c r="K101" i="15"/>
  <c r="J101" i="15"/>
  <c r="I101" i="15"/>
  <c r="H101" i="15"/>
  <c r="E101" i="15"/>
  <c r="D101" i="15"/>
  <c r="C101" i="15"/>
  <c r="B101" i="15"/>
  <c r="X100" i="15"/>
  <c r="W100" i="15"/>
  <c r="Y100" i="15" s="1"/>
  <c r="U100" i="15"/>
  <c r="T100" i="15"/>
  <c r="S100" i="15"/>
  <c r="R100" i="15"/>
  <c r="O100" i="15"/>
  <c r="N100" i="15"/>
  <c r="M100" i="15"/>
  <c r="K100" i="15"/>
  <c r="J100" i="15"/>
  <c r="I100" i="15"/>
  <c r="H100" i="15"/>
  <c r="E100" i="15"/>
  <c r="D100" i="15"/>
  <c r="C100" i="15"/>
  <c r="B100" i="15"/>
  <c r="X99" i="15"/>
  <c r="W99" i="15"/>
  <c r="Y99" i="15" s="1"/>
  <c r="U99" i="15"/>
  <c r="T99" i="15"/>
  <c r="S99" i="15"/>
  <c r="R99" i="15"/>
  <c r="O99" i="15"/>
  <c r="N99" i="15"/>
  <c r="M99" i="15"/>
  <c r="K99" i="15"/>
  <c r="J99" i="15"/>
  <c r="I99" i="15"/>
  <c r="H99" i="15"/>
  <c r="E99" i="15"/>
  <c r="D99" i="15"/>
  <c r="C99" i="15"/>
  <c r="B99" i="15"/>
  <c r="X98" i="15"/>
  <c r="W98" i="15"/>
  <c r="Y98" i="15" s="1"/>
  <c r="U98" i="15"/>
  <c r="T98" i="15"/>
  <c r="S98" i="15"/>
  <c r="R98" i="15"/>
  <c r="O98" i="15"/>
  <c r="N98" i="15"/>
  <c r="M98" i="15"/>
  <c r="K98" i="15"/>
  <c r="J98" i="15"/>
  <c r="I98" i="15"/>
  <c r="H98" i="15"/>
  <c r="E98" i="15"/>
  <c r="D98" i="15"/>
  <c r="C98" i="15"/>
  <c r="B98" i="15"/>
  <c r="X97" i="15"/>
  <c r="W97" i="15"/>
  <c r="Y97" i="15" s="1"/>
  <c r="U97" i="15"/>
  <c r="T97" i="15"/>
  <c r="S97" i="15"/>
  <c r="R97" i="15"/>
  <c r="O97" i="15"/>
  <c r="N97" i="15"/>
  <c r="M97" i="15"/>
  <c r="K97" i="15"/>
  <c r="J97" i="15"/>
  <c r="I97" i="15"/>
  <c r="H97" i="15"/>
  <c r="E97" i="15"/>
  <c r="D97" i="15"/>
  <c r="C97" i="15"/>
  <c r="B97" i="15"/>
  <c r="X96" i="15"/>
  <c r="W96" i="15"/>
  <c r="Y96" i="15" s="1"/>
  <c r="U96" i="15"/>
  <c r="T96" i="15"/>
  <c r="S96" i="15"/>
  <c r="R96" i="15"/>
  <c r="O96" i="15"/>
  <c r="N96" i="15"/>
  <c r="M96" i="15"/>
  <c r="K96" i="15"/>
  <c r="J96" i="15"/>
  <c r="I96" i="15"/>
  <c r="H96" i="15"/>
  <c r="E96" i="15"/>
  <c r="D96" i="15"/>
  <c r="C96" i="15"/>
  <c r="B96" i="15"/>
  <c r="X95" i="15"/>
  <c r="W95" i="15"/>
  <c r="Y95" i="15" s="1"/>
  <c r="U95" i="15"/>
  <c r="T95" i="15"/>
  <c r="S95" i="15"/>
  <c r="R95" i="15"/>
  <c r="O95" i="15"/>
  <c r="N95" i="15"/>
  <c r="M95" i="15"/>
  <c r="K95" i="15"/>
  <c r="J95" i="15"/>
  <c r="I95" i="15"/>
  <c r="H95" i="15"/>
  <c r="E95" i="15"/>
  <c r="D95" i="15"/>
  <c r="C95" i="15"/>
  <c r="B95" i="15"/>
  <c r="X94" i="15"/>
  <c r="W94" i="15"/>
  <c r="Y94" i="15" s="1"/>
  <c r="U94" i="15"/>
  <c r="T94" i="15"/>
  <c r="S94" i="15"/>
  <c r="R94" i="15"/>
  <c r="O94" i="15"/>
  <c r="N94" i="15"/>
  <c r="M94" i="15"/>
  <c r="K94" i="15"/>
  <c r="J94" i="15"/>
  <c r="I94" i="15"/>
  <c r="H94" i="15"/>
  <c r="E94" i="15"/>
  <c r="D94" i="15"/>
  <c r="C94" i="15"/>
  <c r="B94" i="15"/>
  <c r="X93" i="15"/>
  <c r="W93" i="15"/>
  <c r="Y93" i="15" s="1"/>
  <c r="U93" i="15"/>
  <c r="T93" i="15"/>
  <c r="S93" i="15"/>
  <c r="R93" i="15"/>
  <c r="O93" i="15"/>
  <c r="N93" i="15"/>
  <c r="M93" i="15"/>
  <c r="K93" i="15"/>
  <c r="J93" i="15"/>
  <c r="I93" i="15"/>
  <c r="H93" i="15"/>
  <c r="E93" i="15"/>
  <c r="D93" i="15"/>
  <c r="C93" i="15"/>
  <c r="B93" i="15"/>
  <c r="X92" i="15"/>
  <c r="W92" i="15"/>
  <c r="Y92" i="15" s="1"/>
  <c r="U92" i="15"/>
  <c r="T92" i="15"/>
  <c r="S92" i="15"/>
  <c r="R92" i="15"/>
  <c r="O92" i="15"/>
  <c r="N92" i="15"/>
  <c r="M92" i="15"/>
  <c r="K92" i="15"/>
  <c r="J92" i="15"/>
  <c r="I92" i="15"/>
  <c r="H92" i="15"/>
  <c r="E92" i="15"/>
  <c r="D92" i="15"/>
  <c r="C92" i="15"/>
  <c r="B92" i="15"/>
  <c r="X91" i="15"/>
  <c r="W91" i="15"/>
  <c r="Y91" i="15" s="1"/>
  <c r="U91" i="15"/>
  <c r="T91" i="15"/>
  <c r="S91" i="15"/>
  <c r="R91" i="15"/>
  <c r="O91" i="15"/>
  <c r="N91" i="15"/>
  <c r="M91" i="15"/>
  <c r="K91" i="15"/>
  <c r="J91" i="15"/>
  <c r="I91" i="15"/>
  <c r="H91" i="15"/>
  <c r="E91" i="15"/>
  <c r="D91" i="15"/>
  <c r="C91" i="15"/>
  <c r="B91" i="15"/>
  <c r="X90" i="15"/>
  <c r="W90" i="15"/>
  <c r="Y90" i="15" s="1"/>
  <c r="U90" i="15"/>
  <c r="T90" i="15"/>
  <c r="S90" i="15"/>
  <c r="R90" i="15"/>
  <c r="O90" i="15"/>
  <c r="N90" i="15"/>
  <c r="M90" i="15"/>
  <c r="K90" i="15"/>
  <c r="J90" i="15"/>
  <c r="I90" i="15"/>
  <c r="H90" i="15"/>
  <c r="E90" i="15"/>
  <c r="D90" i="15"/>
  <c r="C90" i="15"/>
  <c r="B90" i="15"/>
  <c r="X89" i="15"/>
  <c r="W89" i="15"/>
  <c r="Y89" i="15" s="1"/>
  <c r="U89" i="15"/>
  <c r="T89" i="15"/>
  <c r="S89" i="15"/>
  <c r="R89" i="15"/>
  <c r="O89" i="15"/>
  <c r="N89" i="15"/>
  <c r="M89" i="15"/>
  <c r="K89" i="15"/>
  <c r="J89" i="15"/>
  <c r="I89" i="15"/>
  <c r="H89" i="15"/>
  <c r="E89" i="15"/>
  <c r="D89" i="15"/>
  <c r="C89" i="15"/>
  <c r="B89" i="15"/>
  <c r="X88" i="15"/>
  <c r="W88" i="15"/>
  <c r="Y88" i="15" s="1"/>
  <c r="U88" i="15"/>
  <c r="T88" i="15"/>
  <c r="S88" i="15"/>
  <c r="R88" i="15"/>
  <c r="O88" i="15"/>
  <c r="N88" i="15"/>
  <c r="M88" i="15"/>
  <c r="K88" i="15"/>
  <c r="J88" i="15"/>
  <c r="I88" i="15"/>
  <c r="H88" i="15"/>
  <c r="E88" i="15"/>
  <c r="D88" i="15"/>
  <c r="C88" i="15"/>
  <c r="B88" i="15"/>
  <c r="X87" i="15"/>
  <c r="W87" i="15"/>
  <c r="Y87" i="15" s="1"/>
  <c r="U87" i="15"/>
  <c r="T87" i="15"/>
  <c r="S87" i="15"/>
  <c r="R87" i="15"/>
  <c r="O87" i="15"/>
  <c r="N87" i="15"/>
  <c r="M87" i="15"/>
  <c r="K87" i="15"/>
  <c r="J87" i="15"/>
  <c r="I87" i="15"/>
  <c r="H87" i="15"/>
  <c r="E87" i="15"/>
  <c r="D87" i="15"/>
  <c r="C87" i="15"/>
  <c r="B87" i="15"/>
  <c r="X86" i="15"/>
  <c r="W86" i="15"/>
  <c r="Y86" i="15" s="1"/>
  <c r="U86" i="15"/>
  <c r="T86" i="15"/>
  <c r="S86" i="15"/>
  <c r="R86" i="15"/>
  <c r="O86" i="15"/>
  <c r="N86" i="15"/>
  <c r="M86" i="15"/>
  <c r="K86" i="15"/>
  <c r="J86" i="15"/>
  <c r="I86" i="15"/>
  <c r="H86" i="15"/>
  <c r="E86" i="15"/>
  <c r="D86" i="15"/>
  <c r="C86" i="15"/>
  <c r="B86" i="15"/>
  <c r="X85" i="15"/>
  <c r="W85" i="15"/>
  <c r="Y85" i="15" s="1"/>
  <c r="U85" i="15"/>
  <c r="T85" i="15"/>
  <c r="S85" i="15"/>
  <c r="R85" i="15"/>
  <c r="O85" i="15"/>
  <c r="N85" i="15"/>
  <c r="M85" i="15"/>
  <c r="K85" i="15"/>
  <c r="J85" i="15"/>
  <c r="I85" i="15"/>
  <c r="H85" i="15"/>
  <c r="E85" i="15"/>
  <c r="D85" i="15"/>
  <c r="C85" i="15"/>
  <c r="B85" i="15"/>
  <c r="X84" i="15"/>
  <c r="W84" i="15"/>
  <c r="Y84" i="15" s="1"/>
  <c r="U84" i="15"/>
  <c r="T84" i="15"/>
  <c r="S84" i="15"/>
  <c r="R84" i="15"/>
  <c r="O84" i="15"/>
  <c r="N84" i="15"/>
  <c r="M84" i="15"/>
  <c r="K84" i="15"/>
  <c r="J84" i="15"/>
  <c r="I84" i="15"/>
  <c r="H84" i="15"/>
  <c r="E84" i="15"/>
  <c r="D84" i="15"/>
  <c r="C84" i="15"/>
  <c r="B84" i="15"/>
  <c r="X83" i="15"/>
  <c r="W83" i="15"/>
  <c r="Y83" i="15" s="1"/>
  <c r="U83" i="15"/>
  <c r="T83" i="15"/>
  <c r="S83" i="15"/>
  <c r="R83" i="15"/>
  <c r="O83" i="15"/>
  <c r="N83" i="15"/>
  <c r="M83" i="15"/>
  <c r="K83" i="15"/>
  <c r="J83" i="15"/>
  <c r="I83" i="15"/>
  <c r="H83" i="15"/>
  <c r="E83" i="15"/>
  <c r="D83" i="15"/>
  <c r="C83" i="15"/>
  <c r="B83" i="15"/>
  <c r="X82" i="15"/>
  <c r="W82" i="15"/>
  <c r="Y82" i="15" s="1"/>
  <c r="U82" i="15"/>
  <c r="T82" i="15"/>
  <c r="S82" i="15"/>
  <c r="R82" i="15"/>
  <c r="O82" i="15"/>
  <c r="N82" i="15"/>
  <c r="M82" i="15"/>
  <c r="K82" i="15"/>
  <c r="J82" i="15"/>
  <c r="I82" i="15"/>
  <c r="H82" i="15"/>
  <c r="E82" i="15"/>
  <c r="D82" i="15"/>
  <c r="C82" i="15"/>
  <c r="B82" i="15"/>
  <c r="X81" i="15"/>
  <c r="W81" i="15"/>
  <c r="Y81" i="15" s="1"/>
  <c r="U81" i="15"/>
  <c r="T81" i="15"/>
  <c r="S81" i="15"/>
  <c r="R81" i="15"/>
  <c r="O81" i="15"/>
  <c r="N81" i="15"/>
  <c r="M81" i="15"/>
  <c r="K81" i="15"/>
  <c r="J81" i="15"/>
  <c r="I81" i="15"/>
  <c r="H81" i="15"/>
  <c r="E81" i="15"/>
  <c r="D81" i="15"/>
  <c r="C81" i="15"/>
  <c r="B81" i="15"/>
  <c r="X80" i="15"/>
  <c r="W80" i="15"/>
  <c r="Y80" i="15" s="1"/>
  <c r="U80" i="15"/>
  <c r="T80" i="15"/>
  <c r="S80" i="15"/>
  <c r="R80" i="15"/>
  <c r="O80" i="15"/>
  <c r="N80" i="15"/>
  <c r="M80" i="15"/>
  <c r="K80" i="15"/>
  <c r="J80" i="15"/>
  <c r="I80" i="15"/>
  <c r="H80" i="15"/>
  <c r="E80" i="15"/>
  <c r="D80" i="15"/>
  <c r="C80" i="15"/>
  <c r="B80" i="15"/>
  <c r="X79" i="15"/>
  <c r="W79" i="15"/>
  <c r="Y79" i="15" s="1"/>
  <c r="U79" i="15"/>
  <c r="T79" i="15"/>
  <c r="S79" i="15"/>
  <c r="R79" i="15"/>
  <c r="O79" i="15"/>
  <c r="N79" i="15"/>
  <c r="M79" i="15"/>
  <c r="K79" i="15"/>
  <c r="J79" i="15"/>
  <c r="I79" i="15"/>
  <c r="H79" i="15"/>
  <c r="E79" i="15"/>
  <c r="D79" i="15"/>
  <c r="C79" i="15"/>
  <c r="B79" i="15"/>
  <c r="X78" i="15"/>
  <c r="W78" i="15"/>
  <c r="Y78" i="15" s="1"/>
  <c r="U78" i="15"/>
  <c r="T78" i="15"/>
  <c r="S78" i="15"/>
  <c r="R78" i="15"/>
  <c r="O78" i="15"/>
  <c r="N78" i="15"/>
  <c r="M78" i="15"/>
  <c r="K78" i="15"/>
  <c r="J78" i="15"/>
  <c r="I78" i="15"/>
  <c r="H78" i="15"/>
  <c r="E78" i="15"/>
  <c r="D78" i="15"/>
  <c r="C78" i="15"/>
  <c r="B78" i="15"/>
  <c r="X77" i="15"/>
  <c r="W77" i="15"/>
  <c r="Y77" i="15" s="1"/>
  <c r="U77" i="15"/>
  <c r="T77" i="15"/>
  <c r="S77" i="15"/>
  <c r="R77" i="15"/>
  <c r="O77" i="15"/>
  <c r="N77" i="15"/>
  <c r="M77" i="15"/>
  <c r="K77" i="15"/>
  <c r="J77" i="15"/>
  <c r="I77" i="15"/>
  <c r="H77" i="15"/>
  <c r="E77" i="15"/>
  <c r="D77" i="15"/>
  <c r="C77" i="15"/>
  <c r="B77" i="15"/>
  <c r="Y76" i="15"/>
  <c r="X76" i="15"/>
  <c r="W76" i="15"/>
  <c r="U76" i="15"/>
  <c r="T76" i="15"/>
  <c r="S76" i="15"/>
  <c r="R76" i="15"/>
  <c r="O76" i="15"/>
  <c r="N76" i="15"/>
  <c r="M76" i="15"/>
  <c r="K76" i="15"/>
  <c r="J76" i="15"/>
  <c r="I76" i="15"/>
  <c r="H76" i="15"/>
  <c r="E76" i="15"/>
  <c r="D76" i="15"/>
  <c r="C76" i="15"/>
  <c r="B76" i="15"/>
  <c r="X75" i="15"/>
  <c r="W75" i="15"/>
  <c r="Y75" i="15" s="1"/>
  <c r="U75" i="15"/>
  <c r="T75" i="15"/>
  <c r="S75" i="15"/>
  <c r="R75" i="15"/>
  <c r="O75" i="15"/>
  <c r="N75" i="15"/>
  <c r="M75" i="15"/>
  <c r="K75" i="15"/>
  <c r="J75" i="15"/>
  <c r="I75" i="15"/>
  <c r="H75" i="15"/>
  <c r="E75" i="15"/>
  <c r="D75" i="15"/>
  <c r="C75" i="15"/>
  <c r="B75" i="15"/>
  <c r="X74" i="15"/>
  <c r="W74" i="15"/>
  <c r="Y74" i="15" s="1"/>
  <c r="U74" i="15"/>
  <c r="T74" i="15"/>
  <c r="S74" i="15"/>
  <c r="R74" i="15"/>
  <c r="O74" i="15"/>
  <c r="N74" i="15"/>
  <c r="M74" i="15"/>
  <c r="K74" i="15"/>
  <c r="J74" i="15"/>
  <c r="I74" i="15"/>
  <c r="H74" i="15"/>
  <c r="E74" i="15"/>
  <c r="D74" i="15"/>
  <c r="C74" i="15"/>
  <c r="B74" i="15"/>
  <c r="X73" i="15"/>
  <c r="W73" i="15"/>
  <c r="Y73" i="15" s="1"/>
  <c r="U73" i="15"/>
  <c r="T73" i="15"/>
  <c r="S73" i="15"/>
  <c r="R73" i="15"/>
  <c r="O73" i="15"/>
  <c r="N73" i="15"/>
  <c r="M73" i="15"/>
  <c r="K73" i="15"/>
  <c r="J73" i="15"/>
  <c r="I73" i="15"/>
  <c r="H73" i="15"/>
  <c r="E73" i="15"/>
  <c r="D73" i="15"/>
  <c r="C73" i="15"/>
  <c r="B73" i="15"/>
  <c r="X72" i="15"/>
  <c r="W72" i="15"/>
  <c r="Y72" i="15" s="1"/>
  <c r="U72" i="15"/>
  <c r="T72" i="15"/>
  <c r="S72" i="15"/>
  <c r="R72" i="15"/>
  <c r="O72" i="15"/>
  <c r="N72" i="15"/>
  <c r="M72" i="15"/>
  <c r="K72" i="15"/>
  <c r="J72" i="15"/>
  <c r="I72" i="15"/>
  <c r="H72" i="15"/>
  <c r="E72" i="15"/>
  <c r="D72" i="15"/>
  <c r="C72" i="15"/>
  <c r="B72" i="15"/>
  <c r="X71" i="15"/>
  <c r="W71" i="15"/>
  <c r="Y71" i="15" s="1"/>
  <c r="U71" i="15"/>
  <c r="T71" i="15"/>
  <c r="S71" i="15"/>
  <c r="R71" i="15"/>
  <c r="O71" i="15"/>
  <c r="N71" i="15"/>
  <c r="M71" i="15"/>
  <c r="K71" i="15"/>
  <c r="J71" i="15"/>
  <c r="I71" i="15"/>
  <c r="H71" i="15"/>
  <c r="E71" i="15"/>
  <c r="D71" i="15"/>
  <c r="C71" i="15"/>
  <c r="B71" i="15"/>
  <c r="X70" i="15"/>
  <c r="W70" i="15"/>
  <c r="Y70" i="15" s="1"/>
  <c r="U70" i="15"/>
  <c r="T70" i="15"/>
  <c r="S70" i="15"/>
  <c r="R70" i="15"/>
  <c r="O70" i="15"/>
  <c r="N70" i="15"/>
  <c r="M70" i="15"/>
  <c r="K70" i="15"/>
  <c r="J70" i="15"/>
  <c r="I70" i="15"/>
  <c r="H70" i="15"/>
  <c r="E70" i="15"/>
  <c r="D70" i="15"/>
  <c r="C70" i="15"/>
  <c r="B70" i="15"/>
  <c r="Y69" i="15"/>
  <c r="X69" i="15"/>
  <c r="W69" i="15"/>
  <c r="U69" i="15"/>
  <c r="T69" i="15"/>
  <c r="S69" i="15"/>
  <c r="R69" i="15"/>
  <c r="O69" i="15"/>
  <c r="N69" i="15"/>
  <c r="M69" i="15"/>
  <c r="K69" i="15"/>
  <c r="J69" i="15"/>
  <c r="I69" i="15"/>
  <c r="H69" i="15"/>
  <c r="E69" i="15"/>
  <c r="D69" i="15"/>
  <c r="C69" i="15"/>
  <c r="B69" i="15"/>
  <c r="X68" i="15"/>
  <c r="W68" i="15"/>
  <c r="Y68" i="15" s="1"/>
  <c r="U68" i="15"/>
  <c r="T68" i="15"/>
  <c r="S68" i="15"/>
  <c r="R68" i="15"/>
  <c r="O68" i="15"/>
  <c r="N68" i="15"/>
  <c r="M68" i="15"/>
  <c r="K68" i="15"/>
  <c r="J68" i="15"/>
  <c r="I68" i="15"/>
  <c r="H68" i="15"/>
  <c r="E68" i="15"/>
  <c r="D68" i="15"/>
  <c r="C68" i="15"/>
  <c r="B68" i="15"/>
  <c r="X67" i="15"/>
  <c r="W67" i="15"/>
  <c r="Y67" i="15" s="1"/>
  <c r="U67" i="15"/>
  <c r="T67" i="15"/>
  <c r="S67" i="15"/>
  <c r="R67" i="15"/>
  <c r="O67" i="15"/>
  <c r="N67" i="15"/>
  <c r="M67" i="15"/>
  <c r="K67" i="15"/>
  <c r="J67" i="15"/>
  <c r="I67" i="15"/>
  <c r="H67" i="15"/>
  <c r="E67" i="15"/>
  <c r="D67" i="15"/>
  <c r="C67" i="15"/>
  <c r="B67" i="15"/>
  <c r="X66" i="15"/>
  <c r="W66" i="15"/>
  <c r="Y66" i="15" s="1"/>
  <c r="U66" i="15"/>
  <c r="T66" i="15"/>
  <c r="S66" i="15"/>
  <c r="R66" i="15"/>
  <c r="O66" i="15"/>
  <c r="N66" i="15"/>
  <c r="M66" i="15"/>
  <c r="K66" i="15"/>
  <c r="J66" i="15"/>
  <c r="I66" i="15"/>
  <c r="H66" i="15"/>
  <c r="E66" i="15"/>
  <c r="D66" i="15"/>
  <c r="C66" i="15"/>
  <c r="B66" i="15"/>
  <c r="X65" i="15"/>
  <c r="W65" i="15"/>
  <c r="Y65" i="15" s="1"/>
  <c r="U65" i="15"/>
  <c r="T65" i="15"/>
  <c r="S65" i="15"/>
  <c r="R65" i="15"/>
  <c r="O65" i="15"/>
  <c r="N65" i="15"/>
  <c r="M65" i="15"/>
  <c r="K65" i="15"/>
  <c r="J65" i="15"/>
  <c r="I65" i="15"/>
  <c r="H65" i="15"/>
  <c r="E65" i="15"/>
  <c r="D65" i="15"/>
  <c r="C65" i="15"/>
  <c r="B65" i="15"/>
  <c r="X64" i="15"/>
  <c r="W64" i="15"/>
  <c r="Y64" i="15" s="1"/>
  <c r="U64" i="15"/>
  <c r="T64" i="15"/>
  <c r="S64" i="15"/>
  <c r="R64" i="15"/>
  <c r="O64" i="15"/>
  <c r="N64" i="15"/>
  <c r="M64" i="15"/>
  <c r="K64" i="15"/>
  <c r="J64" i="15"/>
  <c r="I64" i="15"/>
  <c r="H64" i="15"/>
  <c r="E64" i="15"/>
  <c r="D64" i="15"/>
  <c r="C64" i="15"/>
  <c r="B64" i="15"/>
  <c r="X63" i="15"/>
  <c r="W63" i="15"/>
  <c r="Y63" i="15" s="1"/>
  <c r="U63" i="15"/>
  <c r="T63" i="15"/>
  <c r="S63" i="15"/>
  <c r="R63" i="15"/>
  <c r="O63" i="15"/>
  <c r="N63" i="15"/>
  <c r="M63" i="15"/>
  <c r="K63" i="15"/>
  <c r="J63" i="15"/>
  <c r="I63" i="15"/>
  <c r="H63" i="15"/>
  <c r="E63" i="15"/>
  <c r="D63" i="15"/>
  <c r="C63" i="15"/>
  <c r="B63" i="15"/>
  <c r="X62" i="15"/>
  <c r="W62" i="15"/>
  <c r="Y62" i="15" s="1"/>
  <c r="U62" i="15"/>
  <c r="T62" i="15"/>
  <c r="S62" i="15"/>
  <c r="R62" i="15"/>
  <c r="O62" i="15"/>
  <c r="N62" i="15"/>
  <c r="M62" i="15"/>
  <c r="K62" i="15"/>
  <c r="J62" i="15"/>
  <c r="I62" i="15"/>
  <c r="H62" i="15"/>
  <c r="E62" i="15"/>
  <c r="D62" i="15"/>
  <c r="C62" i="15"/>
  <c r="B62" i="15"/>
  <c r="X61" i="15"/>
  <c r="W61" i="15"/>
  <c r="Y61" i="15" s="1"/>
  <c r="U61" i="15"/>
  <c r="T61" i="15"/>
  <c r="S61" i="15"/>
  <c r="R61" i="15"/>
  <c r="O61" i="15"/>
  <c r="N61" i="15"/>
  <c r="M61" i="15"/>
  <c r="K61" i="15"/>
  <c r="J61" i="15"/>
  <c r="I61" i="15"/>
  <c r="H61" i="15"/>
  <c r="E61" i="15"/>
  <c r="D61" i="15"/>
  <c r="C61" i="15"/>
  <c r="B61" i="15"/>
  <c r="X60" i="15"/>
  <c r="W60" i="15"/>
  <c r="Y60" i="15" s="1"/>
  <c r="U60" i="15"/>
  <c r="T60" i="15"/>
  <c r="S60" i="15"/>
  <c r="R60" i="15"/>
  <c r="O60" i="15"/>
  <c r="N60" i="15"/>
  <c r="M60" i="15"/>
  <c r="K60" i="15"/>
  <c r="J60" i="15"/>
  <c r="I60" i="15"/>
  <c r="H60" i="15"/>
  <c r="E60" i="15"/>
  <c r="D60" i="15"/>
  <c r="C60" i="15"/>
  <c r="B60" i="15"/>
  <c r="X59" i="15"/>
  <c r="W59" i="15"/>
  <c r="Y59" i="15" s="1"/>
  <c r="U59" i="15"/>
  <c r="T59" i="15"/>
  <c r="S59" i="15"/>
  <c r="R59" i="15"/>
  <c r="O59" i="15"/>
  <c r="N59" i="15"/>
  <c r="M59" i="15"/>
  <c r="K59" i="15"/>
  <c r="J59" i="15"/>
  <c r="I59" i="15"/>
  <c r="H59" i="15"/>
  <c r="E59" i="15"/>
  <c r="D59" i="15"/>
  <c r="C59" i="15"/>
  <c r="B59" i="15"/>
  <c r="X58" i="15"/>
  <c r="W58" i="15"/>
  <c r="Y58" i="15" s="1"/>
  <c r="U58" i="15"/>
  <c r="T58" i="15"/>
  <c r="S58" i="15"/>
  <c r="R58" i="15"/>
  <c r="O58" i="15"/>
  <c r="N58" i="15"/>
  <c r="M58" i="15"/>
  <c r="K58" i="15"/>
  <c r="J58" i="15"/>
  <c r="I58" i="15"/>
  <c r="H58" i="15"/>
  <c r="E58" i="15"/>
  <c r="D58" i="15"/>
  <c r="C58" i="15"/>
  <c r="B58" i="15"/>
  <c r="X57" i="15"/>
  <c r="W57" i="15"/>
  <c r="Y57" i="15" s="1"/>
  <c r="U57" i="15"/>
  <c r="T57" i="15"/>
  <c r="S57" i="15"/>
  <c r="R57" i="15"/>
  <c r="O57" i="15"/>
  <c r="N57" i="15"/>
  <c r="M57" i="15"/>
  <c r="K57" i="15"/>
  <c r="J57" i="15"/>
  <c r="I57" i="15"/>
  <c r="H57" i="15"/>
  <c r="E57" i="15"/>
  <c r="D57" i="15"/>
  <c r="C57" i="15"/>
  <c r="B57" i="15"/>
  <c r="X56" i="15"/>
  <c r="W56" i="15"/>
  <c r="Y56" i="15" s="1"/>
  <c r="U56" i="15"/>
  <c r="T56" i="15"/>
  <c r="S56" i="15"/>
  <c r="R56" i="15"/>
  <c r="O56" i="15"/>
  <c r="N56" i="15"/>
  <c r="M56" i="15"/>
  <c r="K56" i="15"/>
  <c r="J56" i="15"/>
  <c r="I56" i="15"/>
  <c r="H56" i="15"/>
  <c r="E56" i="15"/>
  <c r="D56" i="15"/>
  <c r="C56" i="15"/>
  <c r="B56" i="15"/>
  <c r="X55" i="15"/>
  <c r="W55" i="15"/>
  <c r="Y55" i="15" s="1"/>
  <c r="U55" i="15"/>
  <c r="T55" i="15"/>
  <c r="S55" i="15"/>
  <c r="R55" i="15"/>
  <c r="O55" i="15"/>
  <c r="N55" i="15"/>
  <c r="M55" i="15"/>
  <c r="K55" i="15"/>
  <c r="J55" i="15"/>
  <c r="I55" i="15"/>
  <c r="H55" i="15"/>
  <c r="E55" i="15"/>
  <c r="D55" i="15"/>
  <c r="C55" i="15"/>
  <c r="B55" i="15"/>
  <c r="X54" i="15"/>
  <c r="W54" i="15"/>
  <c r="Y54" i="15" s="1"/>
  <c r="U54" i="15"/>
  <c r="T54" i="15"/>
  <c r="S54" i="15"/>
  <c r="R54" i="15"/>
  <c r="O54" i="15"/>
  <c r="N54" i="15"/>
  <c r="M54" i="15"/>
  <c r="K54" i="15"/>
  <c r="J54" i="15"/>
  <c r="I54" i="15"/>
  <c r="H54" i="15"/>
  <c r="E54" i="15"/>
  <c r="D54" i="15"/>
  <c r="C54" i="15"/>
  <c r="B54" i="15"/>
  <c r="X53" i="15"/>
  <c r="W53" i="15"/>
  <c r="Y53" i="15" s="1"/>
  <c r="U53" i="15"/>
  <c r="T53" i="15"/>
  <c r="S53" i="15"/>
  <c r="R53" i="15"/>
  <c r="O53" i="15"/>
  <c r="N53" i="15"/>
  <c r="M53" i="15"/>
  <c r="K53" i="15"/>
  <c r="J53" i="15"/>
  <c r="I53" i="15"/>
  <c r="H53" i="15"/>
  <c r="E53" i="15"/>
  <c r="D53" i="15"/>
  <c r="C53" i="15"/>
  <c r="B53" i="15"/>
  <c r="X52" i="15"/>
  <c r="W52" i="15"/>
  <c r="Y52" i="15" s="1"/>
  <c r="U52" i="15"/>
  <c r="T52" i="15"/>
  <c r="S52" i="15"/>
  <c r="R52" i="15"/>
  <c r="O52" i="15"/>
  <c r="N52" i="15"/>
  <c r="M52" i="15"/>
  <c r="K52" i="15"/>
  <c r="J52" i="15"/>
  <c r="I52" i="15"/>
  <c r="H52" i="15"/>
  <c r="E52" i="15"/>
  <c r="D52" i="15"/>
  <c r="C52" i="15"/>
  <c r="B52" i="15"/>
  <c r="X51" i="15"/>
  <c r="W51" i="15"/>
  <c r="Y51" i="15" s="1"/>
  <c r="U51" i="15"/>
  <c r="T51" i="15"/>
  <c r="S51" i="15"/>
  <c r="R51" i="15"/>
  <c r="O51" i="15"/>
  <c r="N51" i="15"/>
  <c r="M51" i="15"/>
  <c r="K51" i="15"/>
  <c r="J51" i="15"/>
  <c r="I51" i="15"/>
  <c r="H51" i="15"/>
  <c r="E51" i="15"/>
  <c r="D51" i="15"/>
  <c r="C51" i="15"/>
  <c r="B51" i="15"/>
  <c r="X50" i="15"/>
  <c r="W50" i="15"/>
  <c r="Y50" i="15" s="1"/>
  <c r="U50" i="15"/>
  <c r="T50" i="15"/>
  <c r="S50" i="15"/>
  <c r="R50" i="15"/>
  <c r="O50" i="15"/>
  <c r="N50" i="15"/>
  <c r="M50" i="15"/>
  <c r="K50" i="15"/>
  <c r="J50" i="15"/>
  <c r="I50" i="15"/>
  <c r="H50" i="15"/>
  <c r="E50" i="15"/>
  <c r="D50" i="15"/>
  <c r="C50" i="15"/>
  <c r="B50" i="15"/>
  <c r="X49" i="15"/>
  <c r="W49" i="15"/>
  <c r="Y49" i="15" s="1"/>
  <c r="U49" i="15"/>
  <c r="T49" i="15"/>
  <c r="S49" i="15"/>
  <c r="R49" i="15"/>
  <c r="O49" i="15"/>
  <c r="N49" i="15"/>
  <c r="M49" i="15"/>
  <c r="K49" i="15"/>
  <c r="J49" i="15"/>
  <c r="I49" i="15"/>
  <c r="H49" i="15"/>
  <c r="E49" i="15"/>
  <c r="D49" i="15"/>
  <c r="C49" i="15"/>
  <c r="B49" i="15"/>
  <c r="X48" i="15"/>
  <c r="W48" i="15"/>
  <c r="Y48" i="15" s="1"/>
  <c r="U48" i="15"/>
  <c r="T48" i="15"/>
  <c r="S48" i="15"/>
  <c r="R48" i="15"/>
  <c r="O48" i="15"/>
  <c r="N48" i="15"/>
  <c r="M48" i="15"/>
  <c r="K48" i="15"/>
  <c r="J48" i="15"/>
  <c r="I48" i="15"/>
  <c r="H48" i="15"/>
  <c r="E48" i="15"/>
  <c r="D48" i="15"/>
  <c r="C48" i="15"/>
  <c r="B48" i="15"/>
  <c r="X47" i="15"/>
  <c r="W47" i="15"/>
  <c r="Y47" i="15" s="1"/>
  <c r="U47" i="15"/>
  <c r="T47" i="15"/>
  <c r="S47" i="15"/>
  <c r="R47" i="15"/>
  <c r="O47" i="15"/>
  <c r="N47" i="15"/>
  <c r="M47" i="15"/>
  <c r="K47" i="15"/>
  <c r="J47" i="15"/>
  <c r="I47" i="15"/>
  <c r="H47" i="15"/>
  <c r="E47" i="15"/>
  <c r="D47" i="15"/>
  <c r="C47" i="15"/>
  <c r="B47" i="15"/>
  <c r="X46" i="15"/>
  <c r="W46" i="15"/>
  <c r="Y46" i="15" s="1"/>
  <c r="U46" i="15"/>
  <c r="T46" i="15"/>
  <c r="S46" i="15"/>
  <c r="R46" i="15"/>
  <c r="O46" i="15"/>
  <c r="N46" i="15"/>
  <c r="M46" i="15"/>
  <c r="K46" i="15"/>
  <c r="J46" i="15"/>
  <c r="I46" i="15"/>
  <c r="H46" i="15"/>
  <c r="E46" i="15"/>
  <c r="D46" i="15"/>
  <c r="C46" i="15"/>
  <c r="B46" i="15"/>
  <c r="X45" i="15"/>
  <c r="W45" i="15"/>
  <c r="Y45" i="15" s="1"/>
  <c r="U45" i="15"/>
  <c r="T45" i="15"/>
  <c r="S45" i="15"/>
  <c r="R45" i="15"/>
  <c r="O45" i="15"/>
  <c r="N45" i="15"/>
  <c r="M45" i="15"/>
  <c r="K45" i="15"/>
  <c r="J45" i="15"/>
  <c r="I45" i="15"/>
  <c r="H45" i="15"/>
  <c r="E45" i="15"/>
  <c r="D45" i="15"/>
  <c r="C45" i="15"/>
  <c r="B45" i="15"/>
  <c r="X44" i="15"/>
  <c r="W44" i="15"/>
  <c r="Y44" i="15" s="1"/>
  <c r="U44" i="15"/>
  <c r="T44" i="15"/>
  <c r="S44" i="15"/>
  <c r="R44" i="15"/>
  <c r="O44" i="15"/>
  <c r="N44" i="15"/>
  <c r="M44" i="15"/>
  <c r="K44" i="15"/>
  <c r="J44" i="15"/>
  <c r="I44" i="15"/>
  <c r="H44" i="15"/>
  <c r="E44" i="15"/>
  <c r="D44" i="15"/>
  <c r="C44" i="15"/>
  <c r="B44" i="15"/>
  <c r="X43" i="15"/>
  <c r="W43" i="15"/>
  <c r="Y43" i="15" s="1"/>
  <c r="U43" i="15"/>
  <c r="T43" i="15"/>
  <c r="S43" i="15"/>
  <c r="R43" i="15"/>
  <c r="O43" i="15"/>
  <c r="N43" i="15"/>
  <c r="M43" i="15"/>
  <c r="K43" i="15"/>
  <c r="J43" i="15"/>
  <c r="I43" i="15"/>
  <c r="H43" i="15"/>
  <c r="E43" i="15"/>
  <c r="D43" i="15"/>
  <c r="C43" i="15"/>
  <c r="B43" i="15"/>
  <c r="X42" i="15"/>
  <c r="W42" i="15"/>
  <c r="Y42" i="15" s="1"/>
  <c r="U42" i="15"/>
  <c r="T42" i="15"/>
  <c r="S42" i="15"/>
  <c r="R42" i="15"/>
  <c r="O42" i="15"/>
  <c r="N42" i="15"/>
  <c r="M42" i="15"/>
  <c r="K42" i="15"/>
  <c r="J42" i="15"/>
  <c r="I42" i="15"/>
  <c r="H42" i="15"/>
  <c r="E42" i="15"/>
  <c r="D42" i="15"/>
  <c r="C42" i="15"/>
  <c r="B42" i="15"/>
  <c r="X41" i="15"/>
  <c r="W41" i="15"/>
  <c r="Y41" i="15" s="1"/>
  <c r="U41" i="15"/>
  <c r="T41" i="15"/>
  <c r="S41" i="15"/>
  <c r="R41" i="15"/>
  <c r="O41" i="15"/>
  <c r="N41" i="15"/>
  <c r="M41" i="15"/>
  <c r="K41" i="15"/>
  <c r="J41" i="15"/>
  <c r="I41" i="15"/>
  <c r="H41" i="15"/>
  <c r="E41" i="15"/>
  <c r="D41" i="15"/>
  <c r="C41" i="15"/>
  <c r="B41" i="15"/>
  <c r="X40" i="15"/>
  <c r="W40" i="15"/>
  <c r="Y40" i="15" s="1"/>
  <c r="U40" i="15"/>
  <c r="T40" i="15"/>
  <c r="S40" i="15"/>
  <c r="R40" i="15"/>
  <c r="O40" i="15"/>
  <c r="N40" i="15"/>
  <c r="M40" i="15"/>
  <c r="K40" i="15"/>
  <c r="J40" i="15"/>
  <c r="I40" i="15"/>
  <c r="H40" i="15"/>
  <c r="E40" i="15"/>
  <c r="D40" i="15"/>
  <c r="C40" i="15"/>
  <c r="B40" i="15"/>
  <c r="X39" i="15"/>
  <c r="W39" i="15"/>
  <c r="Y39" i="15" s="1"/>
  <c r="U39" i="15"/>
  <c r="T39" i="15"/>
  <c r="S39" i="15"/>
  <c r="R39" i="15"/>
  <c r="O39" i="15"/>
  <c r="N39" i="15"/>
  <c r="M39" i="15"/>
  <c r="K39" i="15"/>
  <c r="J39" i="15"/>
  <c r="I39" i="15"/>
  <c r="H39" i="15"/>
  <c r="E39" i="15"/>
  <c r="D39" i="15"/>
  <c r="C39" i="15"/>
  <c r="B39" i="15"/>
  <c r="X38" i="15"/>
  <c r="W38" i="15"/>
  <c r="Y38" i="15" s="1"/>
  <c r="U38" i="15"/>
  <c r="T38" i="15"/>
  <c r="S38" i="15"/>
  <c r="R38" i="15"/>
  <c r="O38" i="15"/>
  <c r="N38" i="15"/>
  <c r="M38" i="15"/>
  <c r="K38" i="15"/>
  <c r="J38" i="15"/>
  <c r="I38" i="15"/>
  <c r="H38" i="15"/>
  <c r="E38" i="15"/>
  <c r="D38" i="15"/>
  <c r="C38" i="15"/>
  <c r="B38" i="15"/>
  <c r="X37" i="15"/>
  <c r="W37" i="15"/>
  <c r="Y37" i="15" s="1"/>
  <c r="U37" i="15"/>
  <c r="T37" i="15"/>
  <c r="S37" i="15"/>
  <c r="R37" i="15"/>
  <c r="O37" i="15"/>
  <c r="N37" i="15"/>
  <c r="M37" i="15"/>
  <c r="K37" i="15"/>
  <c r="J37" i="15"/>
  <c r="I37" i="15"/>
  <c r="H37" i="15"/>
  <c r="E37" i="15"/>
  <c r="D37" i="15"/>
  <c r="C37" i="15"/>
  <c r="B37" i="15"/>
  <c r="X36" i="15"/>
  <c r="W36" i="15"/>
  <c r="Y36" i="15" s="1"/>
  <c r="U36" i="15"/>
  <c r="T36" i="15"/>
  <c r="S36" i="15"/>
  <c r="R36" i="15"/>
  <c r="O36" i="15"/>
  <c r="N36" i="15"/>
  <c r="M36" i="15"/>
  <c r="K36" i="15"/>
  <c r="J36" i="15"/>
  <c r="I36" i="15"/>
  <c r="H36" i="15"/>
  <c r="E36" i="15"/>
  <c r="D36" i="15"/>
  <c r="C36" i="15"/>
  <c r="B36" i="15"/>
  <c r="Y35" i="15"/>
  <c r="X35" i="15"/>
  <c r="W35" i="15"/>
  <c r="U35" i="15"/>
  <c r="T35" i="15"/>
  <c r="S35" i="15"/>
  <c r="R35" i="15"/>
  <c r="O35" i="15"/>
  <c r="N35" i="15"/>
  <c r="M35" i="15"/>
  <c r="K35" i="15"/>
  <c r="J35" i="15"/>
  <c r="I35" i="15"/>
  <c r="H35" i="15"/>
  <c r="E35" i="15"/>
  <c r="D35" i="15"/>
  <c r="C35" i="15"/>
  <c r="B35" i="15"/>
  <c r="X34" i="15"/>
  <c r="W34" i="15"/>
  <c r="Y34" i="15" s="1"/>
  <c r="U34" i="15"/>
  <c r="T34" i="15"/>
  <c r="S34" i="15"/>
  <c r="R34" i="15"/>
  <c r="O34" i="15"/>
  <c r="N34" i="15"/>
  <c r="M34" i="15"/>
  <c r="K34" i="15"/>
  <c r="J34" i="15"/>
  <c r="I34" i="15"/>
  <c r="H34" i="15"/>
  <c r="E34" i="15"/>
  <c r="D34" i="15"/>
  <c r="C34" i="15"/>
  <c r="B34" i="15"/>
  <c r="Y33" i="15"/>
  <c r="X33" i="15"/>
  <c r="W33" i="15"/>
  <c r="U33" i="15"/>
  <c r="T33" i="15"/>
  <c r="S33" i="15"/>
  <c r="R33" i="15"/>
  <c r="O33" i="15"/>
  <c r="N33" i="15"/>
  <c r="M33" i="15"/>
  <c r="K33" i="15"/>
  <c r="J33" i="15"/>
  <c r="I33" i="15"/>
  <c r="H33" i="15"/>
  <c r="E33" i="15"/>
  <c r="D33" i="15"/>
  <c r="C33" i="15"/>
  <c r="B33" i="15"/>
  <c r="X32" i="15"/>
  <c r="W32" i="15"/>
  <c r="Y32" i="15" s="1"/>
  <c r="U32" i="15"/>
  <c r="T32" i="15"/>
  <c r="S32" i="15"/>
  <c r="R32" i="15"/>
  <c r="O32" i="15"/>
  <c r="N32" i="15"/>
  <c r="M32" i="15"/>
  <c r="K32" i="15"/>
  <c r="J32" i="15"/>
  <c r="I32" i="15"/>
  <c r="H32" i="15"/>
  <c r="E32" i="15"/>
  <c r="D32" i="15"/>
  <c r="C32" i="15"/>
  <c r="B32" i="15"/>
  <c r="X31" i="15"/>
  <c r="W31" i="15"/>
  <c r="Y31" i="15" s="1"/>
  <c r="U31" i="15"/>
  <c r="T31" i="15"/>
  <c r="S31" i="15"/>
  <c r="R31" i="15"/>
  <c r="O31" i="15"/>
  <c r="N31" i="15"/>
  <c r="M31" i="15"/>
  <c r="K31" i="15"/>
  <c r="J31" i="15"/>
  <c r="I31" i="15"/>
  <c r="H31" i="15"/>
  <c r="E31" i="15"/>
  <c r="D31" i="15"/>
  <c r="C31" i="15"/>
  <c r="B31" i="15"/>
  <c r="X30" i="15"/>
  <c r="W30" i="15"/>
  <c r="Y30" i="15" s="1"/>
  <c r="U30" i="15"/>
  <c r="T30" i="15"/>
  <c r="S30" i="15"/>
  <c r="R30" i="15"/>
  <c r="O30" i="15"/>
  <c r="N30" i="15"/>
  <c r="M30" i="15"/>
  <c r="K30" i="15"/>
  <c r="J30" i="15"/>
  <c r="I30" i="15"/>
  <c r="H30" i="15"/>
  <c r="E30" i="15"/>
  <c r="D30" i="15"/>
  <c r="C30" i="15"/>
  <c r="B30" i="15"/>
  <c r="X29" i="15"/>
  <c r="W29" i="15"/>
  <c r="Y29" i="15" s="1"/>
  <c r="U29" i="15"/>
  <c r="T29" i="15"/>
  <c r="S29" i="15"/>
  <c r="R29" i="15"/>
  <c r="O29" i="15"/>
  <c r="N29" i="15"/>
  <c r="M29" i="15"/>
  <c r="K29" i="15"/>
  <c r="J29" i="15"/>
  <c r="I29" i="15"/>
  <c r="H29" i="15"/>
  <c r="E29" i="15"/>
  <c r="D29" i="15"/>
  <c r="C29" i="15"/>
  <c r="B29" i="15"/>
  <c r="X28" i="15"/>
  <c r="W28" i="15"/>
  <c r="Y28" i="15" s="1"/>
  <c r="U28" i="15"/>
  <c r="T28" i="15"/>
  <c r="S28" i="15"/>
  <c r="R28" i="15"/>
  <c r="O28" i="15"/>
  <c r="N28" i="15"/>
  <c r="M28" i="15"/>
  <c r="K28" i="15"/>
  <c r="J28" i="15"/>
  <c r="I28" i="15"/>
  <c r="H28" i="15"/>
  <c r="E28" i="15"/>
  <c r="D28" i="15"/>
  <c r="C28" i="15"/>
  <c r="B28" i="15"/>
  <c r="Y27" i="15"/>
  <c r="X27" i="15"/>
  <c r="W27" i="15"/>
  <c r="U27" i="15"/>
  <c r="T27" i="15"/>
  <c r="S27" i="15"/>
  <c r="R27" i="15"/>
  <c r="O27" i="15"/>
  <c r="N27" i="15"/>
  <c r="M27" i="15"/>
  <c r="K27" i="15"/>
  <c r="J27" i="15"/>
  <c r="I27" i="15"/>
  <c r="H27" i="15"/>
  <c r="E27" i="15"/>
  <c r="D27" i="15"/>
  <c r="C27" i="15"/>
  <c r="B27" i="15"/>
  <c r="X26" i="15"/>
  <c r="W26" i="15"/>
  <c r="Y26" i="15" s="1"/>
  <c r="U26" i="15"/>
  <c r="T26" i="15"/>
  <c r="S26" i="15"/>
  <c r="R26" i="15"/>
  <c r="O26" i="15"/>
  <c r="N26" i="15"/>
  <c r="M26" i="15"/>
  <c r="K26" i="15"/>
  <c r="J26" i="15"/>
  <c r="I26" i="15"/>
  <c r="H26" i="15"/>
  <c r="E26" i="15"/>
  <c r="D26" i="15"/>
  <c r="C26" i="15"/>
  <c r="B26" i="15"/>
  <c r="X25" i="15"/>
  <c r="W25" i="15"/>
  <c r="Y25" i="15" s="1"/>
  <c r="U25" i="15"/>
  <c r="T25" i="15"/>
  <c r="S25" i="15"/>
  <c r="R25" i="15"/>
  <c r="O25" i="15"/>
  <c r="N25" i="15"/>
  <c r="M25" i="15"/>
  <c r="K25" i="15"/>
  <c r="J25" i="15"/>
  <c r="I25" i="15"/>
  <c r="H25" i="15"/>
  <c r="E25" i="15"/>
  <c r="D25" i="15"/>
  <c r="C25" i="15"/>
  <c r="B25" i="15"/>
  <c r="X24" i="15"/>
  <c r="W24" i="15"/>
  <c r="Y24" i="15" s="1"/>
  <c r="U24" i="15"/>
  <c r="T24" i="15"/>
  <c r="S24" i="15"/>
  <c r="R24" i="15"/>
  <c r="O24" i="15"/>
  <c r="N24" i="15"/>
  <c r="M24" i="15"/>
  <c r="K24" i="15"/>
  <c r="J24" i="15"/>
  <c r="I24" i="15"/>
  <c r="H24" i="15"/>
  <c r="E24" i="15"/>
  <c r="D24" i="15"/>
  <c r="C24" i="15"/>
  <c r="B24" i="15"/>
  <c r="Y23" i="15"/>
  <c r="X23" i="15"/>
  <c r="W23" i="15"/>
  <c r="U23" i="15"/>
  <c r="T23" i="15"/>
  <c r="S23" i="15"/>
  <c r="R23" i="15"/>
  <c r="O23" i="15"/>
  <c r="N23" i="15"/>
  <c r="M23" i="15"/>
  <c r="K23" i="15"/>
  <c r="J23" i="15"/>
  <c r="I23" i="15"/>
  <c r="H23" i="15"/>
  <c r="E23" i="15"/>
  <c r="D23" i="15"/>
  <c r="C23" i="15"/>
  <c r="B23" i="15"/>
  <c r="X22" i="15"/>
  <c r="W22" i="15"/>
  <c r="Y22" i="15" s="1"/>
  <c r="U22" i="15"/>
  <c r="T22" i="15"/>
  <c r="S22" i="15"/>
  <c r="R22" i="15"/>
  <c r="O22" i="15"/>
  <c r="N22" i="15"/>
  <c r="M22" i="15"/>
  <c r="K22" i="15"/>
  <c r="J22" i="15"/>
  <c r="I22" i="15"/>
  <c r="H22" i="15"/>
  <c r="E22" i="15"/>
  <c r="D22" i="15"/>
  <c r="C22" i="15"/>
  <c r="B22" i="15"/>
  <c r="X21" i="15"/>
  <c r="W21" i="15"/>
  <c r="Y21" i="15" s="1"/>
  <c r="U21" i="15"/>
  <c r="T21" i="15"/>
  <c r="S21" i="15"/>
  <c r="R21" i="15"/>
  <c r="O21" i="15"/>
  <c r="N21" i="15"/>
  <c r="M21" i="15"/>
  <c r="K21" i="15"/>
  <c r="J21" i="15"/>
  <c r="I21" i="15"/>
  <c r="H21" i="15"/>
  <c r="E21" i="15"/>
  <c r="D21" i="15"/>
  <c r="C21" i="15"/>
  <c r="B21" i="15"/>
  <c r="X20" i="15"/>
  <c r="W20" i="15"/>
  <c r="Y20" i="15" s="1"/>
  <c r="U20" i="15"/>
  <c r="T20" i="15"/>
  <c r="S20" i="15"/>
  <c r="R20" i="15"/>
  <c r="O20" i="15"/>
  <c r="N20" i="15"/>
  <c r="M20" i="15"/>
  <c r="K20" i="15"/>
  <c r="J20" i="15"/>
  <c r="I20" i="15"/>
  <c r="H20" i="15"/>
  <c r="E20" i="15"/>
  <c r="D20" i="15"/>
  <c r="C20" i="15"/>
  <c r="B20" i="15"/>
  <c r="X19" i="15"/>
  <c r="W19" i="15"/>
  <c r="Y19" i="15" s="1"/>
  <c r="U19" i="15"/>
  <c r="T19" i="15"/>
  <c r="S19" i="15"/>
  <c r="R19" i="15"/>
  <c r="O19" i="15"/>
  <c r="N19" i="15"/>
  <c r="M19" i="15"/>
  <c r="K19" i="15"/>
  <c r="J19" i="15"/>
  <c r="I19" i="15"/>
  <c r="H19" i="15"/>
  <c r="E19" i="15"/>
  <c r="D19" i="15"/>
  <c r="C19" i="15"/>
  <c r="B19" i="15"/>
  <c r="X18" i="15"/>
  <c r="W18" i="15"/>
  <c r="Y18" i="15" s="1"/>
  <c r="U18" i="15"/>
  <c r="T18" i="15"/>
  <c r="S18" i="15"/>
  <c r="R18" i="15"/>
  <c r="O18" i="15"/>
  <c r="N18" i="15"/>
  <c r="M18" i="15"/>
  <c r="K18" i="15"/>
  <c r="J18" i="15"/>
  <c r="I18" i="15"/>
  <c r="H18" i="15"/>
  <c r="E18" i="15"/>
  <c r="D18" i="15"/>
  <c r="C18" i="15"/>
  <c r="B18" i="15"/>
  <c r="X17" i="15"/>
  <c r="W17" i="15"/>
  <c r="Y17" i="15" s="1"/>
  <c r="U17" i="15"/>
  <c r="T17" i="15"/>
  <c r="S17" i="15"/>
  <c r="R17" i="15"/>
  <c r="O17" i="15"/>
  <c r="N17" i="15"/>
  <c r="M17" i="15"/>
  <c r="K17" i="15"/>
  <c r="J17" i="15"/>
  <c r="I17" i="15"/>
  <c r="H17" i="15"/>
  <c r="E17" i="15"/>
  <c r="D17" i="15"/>
  <c r="C17" i="15"/>
  <c r="B17" i="15"/>
  <c r="X16" i="15"/>
  <c r="W16" i="15"/>
  <c r="Y16" i="15" s="1"/>
  <c r="U16" i="15"/>
  <c r="T16" i="15"/>
  <c r="S16" i="15"/>
  <c r="R16" i="15"/>
  <c r="O16" i="15"/>
  <c r="N16" i="15"/>
  <c r="M16" i="15"/>
  <c r="K16" i="15"/>
  <c r="J16" i="15"/>
  <c r="I16" i="15"/>
  <c r="H16" i="15"/>
  <c r="E16" i="15"/>
  <c r="D16" i="15"/>
  <c r="C16" i="15"/>
  <c r="B16" i="15"/>
  <c r="X15" i="15"/>
  <c r="U15" i="15"/>
  <c r="T15" i="15"/>
  <c r="S15" i="15"/>
  <c r="R15" i="15"/>
  <c r="O15" i="15"/>
  <c r="N15" i="15"/>
  <c r="M15" i="15"/>
  <c r="K15" i="15"/>
  <c r="J15" i="15"/>
  <c r="I15" i="15"/>
  <c r="H15" i="15"/>
  <c r="E15" i="15"/>
  <c r="D15" i="15"/>
  <c r="C15" i="15"/>
  <c r="B15" i="15"/>
  <c r="X14" i="15"/>
  <c r="U14" i="15"/>
  <c r="T14" i="15"/>
  <c r="S14" i="15"/>
  <c r="R14" i="15"/>
  <c r="O14" i="15"/>
  <c r="N14" i="15"/>
  <c r="M14" i="15"/>
  <c r="K14" i="15"/>
  <c r="J14" i="15"/>
  <c r="I14" i="15"/>
  <c r="H14" i="15"/>
  <c r="E14" i="15"/>
  <c r="D14" i="15"/>
  <c r="C14" i="15"/>
  <c r="B14" i="15"/>
  <c r="X13" i="15"/>
  <c r="U13" i="15"/>
  <c r="T13" i="15"/>
  <c r="S13" i="15"/>
  <c r="R13" i="15"/>
  <c r="O13" i="15"/>
  <c r="N13" i="15"/>
  <c r="M13" i="15"/>
  <c r="K13" i="15"/>
  <c r="J13" i="15"/>
  <c r="I13" i="15"/>
  <c r="H13" i="15"/>
  <c r="E13" i="15"/>
  <c r="D13" i="15"/>
  <c r="C13" i="15"/>
  <c r="B13" i="15"/>
  <c r="X12" i="15"/>
  <c r="U12" i="15"/>
  <c r="T12" i="15"/>
  <c r="S12" i="15"/>
  <c r="R12" i="15"/>
  <c r="O12" i="15"/>
  <c r="N12" i="15"/>
  <c r="M12" i="15"/>
  <c r="K12" i="15"/>
  <c r="J12" i="15"/>
  <c r="I12" i="15"/>
  <c r="H12" i="15"/>
  <c r="E12" i="15"/>
  <c r="D12" i="15"/>
  <c r="C12" i="15"/>
  <c r="B12" i="15"/>
  <c r="X11" i="15"/>
  <c r="U11" i="15"/>
  <c r="T11" i="15"/>
  <c r="S11" i="15"/>
  <c r="R11" i="15"/>
  <c r="O11" i="15"/>
  <c r="N11" i="15"/>
  <c r="M11" i="15"/>
  <c r="K11" i="15"/>
  <c r="J11" i="15"/>
  <c r="I11" i="15"/>
  <c r="H11" i="15"/>
  <c r="E11" i="15"/>
  <c r="D11" i="15"/>
  <c r="C11" i="15"/>
  <c r="B11" i="15"/>
  <c r="X10" i="15"/>
  <c r="U10" i="15"/>
  <c r="T10" i="15"/>
  <c r="S10" i="15"/>
  <c r="R10" i="15"/>
  <c r="O10" i="15"/>
  <c r="N10" i="15"/>
  <c r="M10" i="15"/>
  <c r="K10" i="15"/>
  <c r="J10" i="15"/>
  <c r="I10" i="15"/>
  <c r="H10" i="15"/>
  <c r="E10" i="15"/>
  <c r="D10" i="15"/>
  <c r="C10" i="15"/>
  <c r="B10" i="15"/>
  <c r="X9" i="15"/>
  <c r="U9" i="15"/>
  <c r="T9" i="15"/>
  <c r="S9" i="15"/>
  <c r="R9" i="15"/>
  <c r="O9" i="15"/>
  <c r="N9" i="15"/>
  <c r="M9" i="15"/>
  <c r="K9" i="15"/>
  <c r="J9" i="15"/>
  <c r="I9" i="15"/>
  <c r="H9" i="15"/>
  <c r="E9" i="15"/>
  <c r="D9" i="15"/>
  <c r="C9" i="15"/>
  <c r="B9" i="15"/>
  <c r="X8" i="15"/>
  <c r="U8" i="15"/>
  <c r="T8" i="15"/>
  <c r="S8" i="15"/>
  <c r="R8" i="15"/>
  <c r="O8" i="15"/>
  <c r="N8" i="15"/>
  <c r="M8" i="15"/>
  <c r="K8" i="15"/>
  <c r="J8" i="15"/>
  <c r="I8" i="15"/>
  <c r="H8" i="15"/>
  <c r="E8" i="15"/>
  <c r="D8" i="15"/>
  <c r="C8" i="15"/>
  <c r="B8" i="15"/>
  <c r="X7" i="15"/>
  <c r="W7" i="15"/>
  <c r="U7" i="15"/>
  <c r="T7" i="15"/>
  <c r="S7" i="15"/>
  <c r="R7" i="15"/>
  <c r="O7" i="15"/>
  <c r="N7" i="15"/>
  <c r="M7" i="15"/>
  <c r="K7" i="15"/>
  <c r="J7" i="15"/>
  <c r="I7" i="15"/>
  <c r="H7" i="15"/>
  <c r="E7" i="15"/>
  <c r="D7" i="15"/>
  <c r="C7" i="15"/>
  <c r="Y7" i="15" l="1"/>
  <c r="W8" i="15"/>
  <c r="Y8" i="15" l="1"/>
  <c r="W9" i="15"/>
  <c r="Y9" i="15" l="1"/>
  <c r="W10" i="15"/>
  <c r="W11" i="15" l="1"/>
  <c r="Y10" i="15"/>
  <c r="W12" i="15" l="1"/>
  <c r="Y11" i="15"/>
  <c r="Y12" i="15" l="1"/>
  <c r="W13" i="15"/>
  <c r="W14" i="15" l="1"/>
  <c r="Y13" i="15"/>
  <c r="W15" i="15" l="1"/>
  <c r="Y15" i="15" s="1"/>
  <c r="Y14"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Kristoffer Steen Andersen</author>
  </authors>
  <commentList>
    <comment ref="B5" authorId="0" shapeId="0" xr:uid="{FAA19A59-216E-4F93-ADDD-9C63A6EC9F32}">
      <text>
        <r>
          <rPr>
            <b/>
            <sz val="9"/>
            <rFont val="Tahoma"/>
            <family val="2"/>
            <charset val="1"/>
          </rPr>
          <t>The information in the table below is copied using VBA-script in the the workbook Sets-DemoModels.xlsm, specifically from the named range "TIMESreport_RangeProcesSets"</t>
        </r>
      </text>
    </comment>
    <comment ref="F5" authorId="0" shapeId="0" xr:uid="{33946111-A2F4-4282-A8A6-EB3F526E44EA}">
      <text>
        <r>
          <rPr>
            <b/>
            <sz val="9"/>
            <rFont val="Tahoma"/>
            <family val="2"/>
            <charset val="1"/>
          </rPr>
          <t>The information in the table below is copied using VBA-script in the the workbook Sets-DemoModels.xlsm, specifically from the named range "TIMESreport_RangeCommoditySets"</t>
        </r>
      </text>
    </comment>
  </commentList>
</comments>
</file>

<file path=xl/sharedStrings.xml><?xml version="1.0" encoding="utf-8"?>
<sst xmlns="http://schemas.openxmlformats.org/spreadsheetml/2006/main" count="299" uniqueCount="196">
  <si>
    <t>Attribute</t>
  </si>
  <si>
    <t>~TFM_INS</t>
  </si>
  <si>
    <t>Other_indexes</t>
  </si>
  <si>
    <t>Value</t>
  </si>
  <si>
    <t>CmdF_bot</t>
  </si>
  <si>
    <t>This filename:</t>
  </si>
  <si>
    <t>The path here</t>
  </si>
  <si>
    <t>postprocessing</t>
  </si>
  <si>
    <t>Allregions</t>
  </si>
  <si>
    <t>Pset_Set</t>
  </si>
  <si>
    <t>Description</t>
  </si>
  <si>
    <t xml:space="preserve">Use CmdF_bot to run "timesreport.gms" automatically after a TIMES scenario run by include the code in cell C8 in the "VTrun.cmd-file".  This approach is based on location of "timesreport.gms" relative to the present scenario file and assumes that timesreport is located ..\TIMESreport\timesreport.gms. The location should be updated automatically as the model user syncronizes this scenario file.
Note that timesreport relies on a certain file structure on your computer, e.g., it assumes that VEDA saves your model files into the following folder "c:\Veda\GAMS_WrkTIMES\". It further assumes that a specific library is created for each model run (corresponding to the setting in VEDA that Max Runs is set to 2 or higher. </t>
  </si>
  <si>
    <t>Notes:</t>
  </si>
  <si>
    <t>Code to be included using attribute SFCmd_bot</t>
  </si>
  <si>
    <t>Include user defined commodity sets in the dd file using SFCmd_bot so that process sets and their descriptions are able in raw TIMES GDX-file for extraction by the timesreport.gms script. This is important for reporting purposes, as it allow us to use the description of each user defined commodity sets down stream in automated reporting pipeline. The "Value-column" specifies the line where the text is placed.</t>
  </si>
  <si>
    <t>Include user defined process sets in the dd file using SFCmd_bot so that process sets and their descriptions are able in raw TIMES GDX-file for extraction by the timesreport.gms script. This is important for reporting purposes, as it allow us to use the description of each user defined process sets down stream in automated reporting pipeline. The "Value-column" specifies the line where the text is placed.</t>
  </si>
  <si>
    <t>Other_Indexes</t>
  </si>
  <si>
    <t>Name</t>
  </si>
  <si>
    <t>TIMESReport</t>
  </si>
  <si>
    <t>To make copy from Sets-TIMES-model.xlsx easy ideally you need the same structure in Sets-TIMES-model.xlsx. I.e. a specific spreadsheet for user defined process with the columns "Name", "Description" and "TIMESReport"</t>
  </si>
  <si>
    <t>$SET MEMCLEAN NO</t>
  </si>
  <si>
    <t>AllRegions</t>
  </si>
  <si>
    <t>Switch (Yes or No)</t>
  </si>
  <si>
    <t>Yes</t>
  </si>
  <si>
    <t>FLO~1</t>
  </si>
  <si>
    <t>No</t>
  </si>
  <si>
    <t>Report Value flows at commodity TS level</t>
  </si>
  <si>
    <t>FLO~3</t>
  </si>
  <si>
    <t>FLO~5</t>
  </si>
  <si>
    <t>Report electricity supply by energy source</t>
  </si>
  <si>
    <t>FLO~7</t>
  </si>
  <si>
    <t>Report process topology indicators</t>
  </si>
  <si>
    <t>COMPRD~1</t>
  </si>
  <si>
    <t>Report VAR_COMPRD for all commodities</t>
  </si>
  <si>
    <t>NCAP~1</t>
  </si>
  <si>
    <t>Activiate levelised cost calculation</t>
  </si>
  <si>
    <t>OBJ~1</t>
  </si>
  <si>
    <t>Split investment according to hurdle rate</t>
  </si>
  <si>
    <t>Report value flows by process (implies (FLO,1)=1)</t>
  </si>
  <si>
    <t>Documentation_for_the_TIMES_Model-PartIII.pdf</t>
  </si>
  <si>
    <t>Table 15 / Page 58</t>
  </si>
  <si>
    <t>-&gt;</t>
  </si>
  <si>
    <t>*Description</t>
  </si>
  <si>
    <t>Define path to the GAMS_WrkTIMES-library where VTrun.cmd file is located</t>
  </si>
  <si>
    <t>Print GAMS_WrkTIMES_Model</t>
  </si>
  <si>
    <t>Run TIMESreport script</t>
  </si>
  <si>
    <t>Below is a dummy fill table. The fill table is added to ensure that VEDA updates excel file with the local path when opening and syncronizing the excel workbook. Note the fill table does not generate any data.</t>
  </si>
  <si>
    <t>~TFM_FILL</t>
  </si>
  <si>
    <t>Operation_Sum_Avg_Count</t>
  </si>
  <si>
    <t>Scenario Name</t>
  </si>
  <si>
    <t>TimeSlice</t>
  </si>
  <si>
    <t>LimType</t>
  </si>
  <si>
    <t>A</t>
  </si>
  <si>
    <t>SysSettings</t>
  </si>
  <si>
    <t>G_DYEAR</t>
  </si>
  <si>
    <t>SET $pathGAMS_WrkTIMES_Model=%CD%</t>
  </si>
  <si>
    <t>echo %$pathGAMS_WrkTIMES_Model%</t>
  </si>
  <si>
    <t>VEDA: Issues when synchronizing scenario file</t>
  </si>
  <si>
    <t>For more info on this approach see:</t>
  </si>
  <si>
    <t>®</t>
  </si>
  <si>
    <t>Copy user defined sets process sets related to timesreport.gms from [Sets-DemoModels.xlsx]TIMESreport_Sets-Proc'!A2:C. That is user defined processes sets related to sector, subsector, (energy) services, capacity_unit and techgroup.</t>
  </si>
  <si>
    <t>Copy user defined sets commodity sets related to timesreport.gms from [Sets-DemoModels.xlsx]TIMESreport_Sets-Comm'!A2:C. That is user defined processes sets related to comgroup.</t>
  </si>
  <si>
    <t>YES</t>
  </si>
  <si>
    <t>$SET ANNCOST LEV</t>
  </si>
  <si>
    <t xml:space="preserve">Keep information on FLO_TAX etc. as part of GDX output </t>
  </si>
  <si>
    <t xml:space="preserve">ANNCOST LEV option to ensure that costs are NOT accounted for in years before model horizont (BOH) </t>
  </si>
  <si>
    <t>~TFM_DINS-AT</t>
  </si>
  <si>
    <t>SFCmd_bot</t>
  </si>
  <si>
    <t>pset_pn</t>
  </si>
  <si>
    <t>Note that using the SFCmd_bot in combination with ~TFM_DINS-AT makes it possible to use commas in the commodity set description. When using a TFM_INS it was not possible to use commas as these where interpreted as a new line. https://vedaonline-documentation.readthedocs.io/en/latest/pages/model_workspace/Run%20Manager.html</t>
  </si>
  <si>
    <t>Note that using the SFCmd_bot in combination with ~TFM_DINS-AT makes it possible to use commas in the process set descriptions. When using a TFM_INS it was not possible to use commas as these where interpreted as a new line. https://vedaonline-documentation.readthedocs.io/en/latest/pages/model_workspace/Run%20Manager.html</t>
  </si>
  <si>
    <t>NRG_ELC</t>
  </si>
  <si>
    <t>Electricity</t>
  </si>
  <si>
    <t>comgroup</t>
  </si>
  <si>
    <t>NRG_GAS</t>
  </si>
  <si>
    <t>Gas</t>
  </si>
  <si>
    <t>NRG_NUK</t>
  </si>
  <si>
    <t>Nuclear</t>
  </si>
  <si>
    <t>NRG_OIL</t>
  </si>
  <si>
    <t>Oil</t>
  </si>
  <si>
    <t>NRG_RNW</t>
  </si>
  <si>
    <t>Renewable</t>
  </si>
  <si>
    <t>NRG_COA</t>
  </si>
  <si>
    <t>Coal</t>
  </si>
  <si>
    <t>NRG_BIO</t>
  </si>
  <si>
    <t>Biomass</t>
  </si>
  <si>
    <t>ENV_CO2</t>
  </si>
  <si>
    <t>GHG-emission</t>
  </si>
  <si>
    <t>DEM_COM</t>
  </si>
  <si>
    <t>Demand commodity</t>
  </si>
  <si>
    <t>000_Units</t>
  </si>
  <si>
    <t>1000 units</t>
  </si>
  <si>
    <t>capacityunit</t>
  </si>
  <si>
    <t>GW</t>
  </si>
  <si>
    <t>Mta</t>
  </si>
  <si>
    <t>Million ton a year</t>
  </si>
  <si>
    <t>PJa</t>
  </si>
  <si>
    <t>PJ annually</t>
  </si>
  <si>
    <t>SC_AGR</t>
  </si>
  <si>
    <t>Agriculture sector</t>
  </si>
  <si>
    <t>sector</t>
  </si>
  <si>
    <t>SC_COM</t>
  </si>
  <si>
    <t>Commercial sector</t>
  </si>
  <si>
    <t>SC_ELE</t>
  </si>
  <si>
    <t>Electricity supply sector</t>
  </si>
  <si>
    <t>SC_IND</t>
  </si>
  <si>
    <t>Industry sector</t>
  </si>
  <si>
    <t>SC_MIN</t>
  </si>
  <si>
    <t>Mining technologies</t>
  </si>
  <si>
    <t>SC_REF</t>
  </si>
  <si>
    <t xml:space="preserve">Refinery </t>
  </si>
  <si>
    <t>SC_RES</t>
  </si>
  <si>
    <t>Residential sector</t>
  </si>
  <si>
    <t>SC_TRA</t>
  </si>
  <si>
    <t>Transport sector</t>
  </si>
  <si>
    <t>SC_TRD</t>
  </si>
  <si>
    <t>Trade technologies</t>
  </si>
  <si>
    <t>SC_TRM</t>
  </si>
  <si>
    <t>Transmission of electricity and gas</t>
  </si>
  <si>
    <t>SR_AGR</t>
  </si>
  <si>
    <t>Agricultural demand</t>
  </si>
  <si>
    <t>service</t>
  </si>
  <si>
    <t>SR_APP</t>
  </si>
  <si>
    <t>Appliances</t>
  </si>
  <si>
    <t>SR_IRS</t>
  </si>
  <si>
    <t>Industrial IronSteel Demand</t>
  </si>
  <si>
    <t>SR_IND</t>
  </si>
  <si>
    <t>Industry Demand</t>
  </si>
  <si>
    <t>SR_OTH</t>
  </si>
  <si>
    <t>Other demands</t>
  </si>
  <si>
    <t>SR_RHT</t>
  </si>
  <si>
    <t>Room heat</t>
  </si>
  <si>
    <t>SR_TRC</t>
  </si>
  <si>
    <t>Cars</t>
  </si>
  <si>
    <t>SR_TRP</t>
  </si>
  <si>
    <t>Public transport</t>
  </si>
  <si>
    <t>SS_AGR</t>
  </si>
  <si>
    <t>Agriculture</t>
  </si>
  <si>
    <t>subsector</t>
  </si>
  <si>
    <t>SS_BIO</t>
  </si>
  <si>
    <t>Domestic biomass supply</t>
  </si>
  <si>
    <t>SS_CHP</t>
  </si>
  <si>
    <t>Combined heat and power plant</t>
  </si>
  <si>
    <t>SS_COA</t>
  </si>
  <si>
    <t>Coal supply</t>
  </si>
  <si>
    <t>SS_COM</t>
  </si>
  <si>
    <t>Commercial</t>
  </si>
  <si>
    <t>SS_ELC</t>
  </si>
  <si>
    <t>Electricity trade</t>
  </si>
  <si>
    <t>SS_ELE</t>
  </si>
  <si>
    <t>Power plants</t>
  </si>
  <si>
    <t>SS_GAS</t>
  </si>
  <si>
    <t>Natural gas supply</t>
  </si>
  <si>
    <t>SS_HPL</t>
  </si>
  <si>
    <t>Heating plant</t>
  </si>
  <si>
    <t>SS_IRO</t>
  </si>
  <si>
    <t>Industrial Iron</t>
  </si>
  <si>
    <t>SS_IND</t>
  </si>
  <si>
    <t>Industry other</t>
  </si>
  <si>
    <t>SS_NUC</t>
  </si>
  <si>
    <t>Mining nuclear fuel supply</t>
  </si>
  <si>
    <t>SS_OIL</t>
  </si>
  <si>
    <t>Oil supply</t>
  </si>
  <si>
    <t>SS_ORE</t>
  </si>
  <si>
    <t>Industrial Ore</t>
  </si>
  <si>
    <t>SS_OXY</t>
  </si>
  <si>
    <t xml:space="preserve">Oxygen supply </t>
  </si>
  <si>
    <t>SS_REF</t>
  </si>
  <si>
    <t>Oil refinary</t>
  </si>
  <si>
    <t>SS_RES</t>
  </si>
  <si>
    <t>Residential</t>
  </si>
  <si>
    <t>SS_REW</t>
  </si>
  <si>
    <t>Renewable energy supply</t>
  </si>
  <si>
    <t>SS_SIN</t>
  </si>
  <si>
    <t>Industrial Sinter</t>
  </si>
  <si>
    <t>SS_STE</t>
  </si>
  <si>
    <t>Industrial Steel</t>
  </si>
  <si>
    <t>SS_TRC</t>
  </si>
  <si>
    <t>Private transport</t>
  </si>
  <si>
    <t>SS_TRME</t>
  </si>
  <si>
    <t>Electricity transmission</t>
  </si>
  <si>
    <t>SS_TRMG</t>
  </si>
  <si>
    <t>Gas transmission</t>
  </si>
  <si>
    <t>SS_TRP</t>
  </si>
  <si>
    <t>TG_BIO</t>
  </si>
  <si>
    <t>techgroup</t>
  </si>
  <si>
    <t>TG_ELC</t>
  </si>
  <si>
    <t>TG_GAS</t>
  </si>
  <si>
    <t>TG_NUC</t>
  </si>
  <si>
    <t>TG_OIL</t>
  </si>
  <si>
    <t>TG_REW</t>
  </si>
  <si>
    <t>TG_COA</t>
  </si>
  <si>
    <t xml:space="preserve">Coal </t>
  </si>
  <si>
    <t>TG_DMD</t>
  </si>
  <si>
    <t>Demand Technology</t>
  </si>
  <si>
    <t>Use to PRC_GMAP make sure that map between processes in the TIMES and user defined proces sets are available in raw TIMES result GDX-file for extraction by the timesreport.gms script. Something simular needs to be done for user defined commodity groups, however, note that based on the current version of VEDA this is done in the SYSSETTING.XLSX using a dedicated table. See the following post for additional details: https://forum.kanors-emr.org/showthread.php?tid=1206&amp;highlight=com_gmap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</si>
</sst>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00_);_([$€]* \(#,##0.00\);_([$€]* &quot;-&quot;??_);_(@_)"/>
  </numFmts>
  <fonts count="17" x14ac:knownFonts="1">
    <font>
      <sz val="11"/>
      <color theme="1"/>
      <name val="Calibri"/>
      <family val="2"/>
      <scheme val="minor"/>
    </font>
    <font>
      <sz val="10"/>
      <color theme="1"/>
      <name val="Arial"/>
      <family val="2"/>
    </font>
    <font>
      <b/>
      <sz val="10"/>
      <name val="Arial"/>
      <family val="2"/>
    </font>
    <font>
      <sz val="10"/>
      <name val="Arial"/>
      <family val="2"/>
    </font>
    <font>
      <b/>
      <sz val="10"/>
      <color indexed="12"/>
      <name val="Arial"/>
      <family val="2"/>
    </font>
    <font>
      <sz val="10"/>
      <name val="Courier"/>
      <family val="3"/>
    </font>
    <font>
      <sz val="9"/>
      <color indexed="8"/>
      <name val="Times New Roman"/>
      <family val="1"/>
    </font>
    <font>
      <sz val="9"/>
      <name val="Times New Roman"/>
      <family val="1"/>
    </font>
    <font>
      <b/>
      <sz val="9"/>
      <name val="Times New Roman"/>
      <family val="1"/>
    </font>
    <font>
      <b/>
      <sz val="11"/>
      <color theme="1"/>
      <name val="Calibri"/>
      <family val="2"/>
      <scheme val="minor"/>
    </font>
    <font>
      <u/>
      <sz val="11"/>
      <color theme="10"/>
      <name val="Calibri"/>
      <family val="2"/>
      <scheme val="minor"/>
    </font>
    <font>
      <sz val="10"/>
      <color theme="1"/>
      <name val="Arial Unicode MS"/>
      <family val="2"/>
    </font>
    <font>
      <sz val="11"/>
      <color rgb="FF404040"/>
      <name val="Arial"/>
      <family val="2"/>
    </font>
    <font>
      <b/>
      <sz val="10"/>
      <color indexed="10"/>
      <name val="Arial"/>
      <family val="2"/>
    </font>
    <font>
      <sz val="11"/>
      <color theme="1"/>
      <name val="Symbol"/>
      <family val="1"/>
      <charset val="2"/>
    </font>
    <font>
      <b/>
      <sz val="9"/>
      <name val="Tahoma"/>
      <family val="2"/>
      <charset val="1"/>
    </font>
    <font>
      <sz val="11"/>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indexed="55"/>
        <bgColor indexed="64"/>
      </patternFill>
    </fill>
    <fill>
      <patternFill patternType="solid">
        <fgColor theme="0" tint="-0.24927518539994506"/>
        <bgColor indexed="64"/>
      </patternFill>
    </fill>
    <fill>
      <patternFill patternType="solid">
        <fgColor indexed="43"/>
        <bgColor indexed="64"/>
      </patternFill>
    </fill>
    <fill>
      <patternFill patternType="solid">
        <fgColor rgb="FFFFFF00"/>
        <bgColor indexed="64"/>
      </patternFill>
    </fill>
    <fill>
      <patternFill patternType="solid">
        <fgColor theme="0" tint="-0.24936674092837305"/>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medium">
        <color auto="1"/>
      </bottom>
      <diagonal/>
    </border>
    <border>
      <left/>
      <right/>
      <top style="thin">
        <color auto="1"/>
      </top>
      <bottom style="thin">
        <color auto="1"/>
      </bottom>
      <diagonal/>
    </border>
  </borders>
  <cellStyleXfs count="34">
    <xf numFmtId="0" fontId="0" fillId="0" borderId="0"/>
    <xf numFmtId="0" fontId="3" fillId="0" borderId="0" applyNumberFormat="0" applyFont="0" applyFill="0" applyBorder="0" applyProtection="0">
      <alignment horizontal="left" vertical="center" indent="5"/>
    </xf>
    <xf numFmtId="4" fontId="6" fillId="2" borderId="1">
      <alignment horizontal="right" vertical="center"/>
    </xf>
    <xf numFmtId="4" fontId="6" fillId="2" borderId="1">
      <alignment horizontal="right" vertical="center"/>
    </xf>
    <xf numFmtId="0" fontId="7" fillId="0" borderId="2">
      <alignment horizontal="left" vertical="center" wrapText="1" indent="2"/>
    </xf>
    <xf numFmtId="165" fontId="3" fillId="0" borderId="0" applyFont="0" applyFill="0" applyBorder="0" applyAlignment="0" applyProtection="0"/>
    <xf numFmtId="4" fontId="7" fillId="0" borderId="0" applyBorder="0">
      <alignment horizontal="right" vertical="center"/>
    </xf>
    <xf numFmtId="0" fontId="3" fillId="0" borderId="0"/>
    <xf numFmtId="0" fontId="3" fillId="0" borderId="0"/>
    <xf numFmtId="0" fontId="16" fillId="0" borderId="0"/>
    <xf numFmtId="0" fontId="3" fillId="0" borderId="0"/>
    <xf numFmtId="4" fontId="7" fillId="0" borderId="1" applyFill="0" applyBorder="0" applyProtection="0">
      <alignment horizontal="right" vertical="center"/>
    </xf>
    <xf numFmtId="0" fontId="8" fillId="0" borderId="0" applyNumberFormat="0" applyFill="0" applyBorder="0" applyProtection="0">
      <alignment horizontal="left" vertical="center"/>
    </xf>
    <xf numFmtId="0" fontId="3" fillId="3" borderId="0" applyNumberFormat="0" applyFont="0" applyBorder="0" applyAlignment="0" applyProtection="0"/>
    <xf numFmtId="0" fontId="5" fillId="0" borderId="0"/>
    <xf numFmtId="9" fontId="3" fillId="0" borderId="0" applyFont="0" applyFill="0" applyBorder="0" applyAlignment="0" applyProtection="0"/>
    <xf numFmtId="0" fontId="3" fillId="0" borderId="0"/>
    <xf numFmtId="4" fontId="7" fillId="0" borderId="0"/>
    <xf numFmtId="0" fontId="10" fillId="0" borderId="0" applyNumberFormat="0" applyFill="0" applyBorder="0" applyAlignment="0" applyProtection="0"/>
    <xf numFmtId="0" fontId="16" fillId="0" borderId="0"/>
    <xf numFmtId="0" fontId="3" fillId="0" borderId="0"/>
    <xf numFmtId="0" fontId="3" fillId="0" borderId="0"/>
    <xf numFmtId="164" fontId="3" fillId="0" borderId="0" applyFont="0" applyFill="0" applyBorder="0" applyAlignment="0" applyProtection="0"/>
    <xf numFmtId="0" fontId="3" fillId="0" borderId="0"/>
    <xf numFmtId="0" fontId="16" fillId="0" borderId="0"/>
    <xf numFmtId="0" fontId="3" fillId="0" borderId="0"/>
    <xf numFmtId="0" fontId="16" fillId="0" borderId="0"/>
    <xf numFmtId="0" fontId="16" fillId="0" borderId="0"/>
    <xf numFmtId="0" fontId="16" fillId="0" borderId="0"/>
    <xf numFmtId="0" fontId="16" fillId="0" borderId="0"/>
    <xf numFmtId="0" fontId="16" fillId="0" borderId="0"/>
    <xf numFmtId="0" fontId="16" fillId="0" borderId="0"/>
    <xf numFmtId="0" fontId="3" fillId="0" borderId="0"/>
    <xf numFmtId="0" fontId="3" fillId="0" borderId="0"/>
  </cellStyleXfs>
  <cellXfs count="41">
    <xf numFmtId="0" fontId="0" fillId="0" borderId="0" xfId="0"/>
    <xf numFmtId="0" fontId="0" fillId="0" borderId="0" xfId="0" applyAlignment="1">
      <alignment horizontal="left" wrapText="1"/>
    </xf>
    <xf numFmtId="0" fontId="0" fillId="0" borderId="0" xfId="0" applyAlignment="1">
      <alignment horizontal="center"/>
    </xf>
    <xf numFmtId="0" fontId="0" fillId="0" borderId="0" xfId="0" applyAlignment="1">
      <alignment horizontal="left" vertical="top"/>
    </xf>
    <xf numFmtId="0" fontId="9" fillId="4" borderId="0" xfId="0" applyFont="1" applyFill="1" applyAlignment="1">
      <alignment horizontal="center"/>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left" vertical="top"/>
    </xf>
    <xf numFmtId="0" fontId="0" fillId="0" borderId="0" xfId="0" applyAlignment="1">
      <alignment horizontal="left" vertical="top" wrapText="1"/>
    </xf>
    <xf numFmtId="0" fontId="4" fillId="0" borderId="0" xfId="0" applyFont="1"/>
    <xf numFmtId="0" fontId="2" fillId="0" borderId="0" xfId="0" applyFont="1" applyAlignment="1">
      <alignment horizontal="center"/>
    </xf>
    <xf numFmtId="0" fontId="2" fillId="5" borderId="3" xfId="0" applyFont="1" applyFill="1" applyBorder="1"/>
    <xf numFmtId="0" fontId="0" fillId="0" borderId="0" xfId="0" applyAlignment="1">
      <alignment wrapText="1"/>
    </xf>
    <xf numFmtId="0" fontId="3" fillId="0" borderId="0" xfId="7" applyAlignment="1">
      <alignment horizontal="left" wrapText="1"/>
    </xf>
    <xf numFmtId="0" fontId="2" fillId="0" borderId="0" xfId="7" applyFont="1" applyAlignment="1">
      <alignment horizontal="left" wrapText="1"/>
    </xf>
    <xf numFmtId="0" fontId="0" fillId="4" borderId="0" xfId="0" applyFill="1"/>
    <xf numFmtId="0" fontId="9" fillId="0" borderId="0" xfId="0" applyFont="1"/>
    <xf numFmtId="0" fontId="9" fillId="0" borderId="0" xfId="0" applyFont="1" applyAlignment="1">
      <alignment vertical="top"/>
    </xf>
    <xf numFmtId="0" fontId="10" fillId="0" borderId="0" xfId="18" quotePrefix="1"/>
    <xf numFmtId="0" fontId="11" fillId="0" borderId="0" xfId="0" applyFont="1"/>
    <xf numFmtId="0" fontId="9" fillId="6" borderId="0" xfId="0" applyFont="1" applyFill="1"/>
    <xf numFmtId="0" fontId="12" fillId="0" borderId="0" xfId="0" applyFont="1"/>
    <xf numFmtId="0" fontId="2" fillId="5" borderId="4" xfId="0" applyFont="1" applyFill="1" applyBorder="1"/>
    <xf numFmtId="0" fontId="2" fillId="5" borderId="0" xfId="0" applyFont="1" applyFill="1"/>
    <xf numFmtId="0" fontId="1" fillId="0" borderId="0" xfId="0" applyFont="1"/>
    <xf numFmtId="0" fontId="10" fillId="0" borderId="0" xfId="18"/>
    <xf numFmtId="0" fontId="0" fillId="0" borderId="0" xfId="0" quotePrefix="1"/>
    <xf numFmtId="0" fontId="2" fillId="4" borderId="0" xfId="0" applyFont="1" applyFill="1"/>
    <xf numFmtId="0" fontId="4" fillId="4" borderId="0" xfId="0" applyFont="1" applyFill="1"/>
    <xf numFmtId="0" fontId="16" fillId="4" borderId="0" xfId="9" applyFill="1"/>
    <xf numFmtId="0" fontId="13" fillId="4" borderId="3" xfId="9" applyFont="1" applyFill="1" applyBorder="1"/>
    <xf numFmtId="0" fontId="2" fillId="4" borderId="3" xfId="0" applyFont="1" applyFill="1" applyBorder="1"/>
    <xf numFmtId="0" fontId="9" fillId="4" borderId="0" xfId="0" applyFont="1" applyFill="1"/>
    <xf numFmtId="0" fontId="3" fillId="4" borderId="0" xfId="20" applyFill="1"/>
    <xf numFmtId="0" fontId="3" fillId="4" borderId="0" xfId="7" applyFill="1"/>
    <xf numFmtId="0" fontId="0" fillId="7" borderId="0" xfId="0" applyFill="1"/>
    <xf numFmtId="0" fontId="10" fillId="7" borderId="0" xfId="18" applyFill="1"/>
    <xf numFmtId="0" fontId="14" fillId="7" borderId="0" xfId="0" quotePrefix="1" applyFont="1" applyFill="1" applyAlignment="1">
      <alignment horizontal="center"/>
    </xf>
    <xf numFmtId="0" fontId="16" fillId="0" borderId="0" xfId="9"/>
    <xf numFmtId="0" fontId="16" fillId="0" borderId="0" xfId="24"/>
    <xf numFmtId="0" fontId="3" fillId="0" borderId="0" xfId="25"/>
  </cellXfs>
  <cellStyles count="34">
    <cellStyle name="5x indented GHG Textfiels" xfId="1" xr:uid="{00000000-0005-0000-0000-000006000000}"/>
    <cellStyle name="AggOrange_CRFReport-template" xfId="2" xr:uid="{00000000-0005-0000-0000-000007000000}"/>
    <cellStyle name="AggOrange9_CRFReport-template" xfId="3" xr:uid="{00000000-0005-0000-0000-000008000000}"/>
    <cellStyle name="CustomizationCells" xfId="4" xr:uid="{00000000-0005-0000-0000-000009000000}"/>
    <cellStyle name="Euro" xfId="5" xr:uid="{00000000-0005-0000-0000-00000A000000}"/>
    <cellStyle name="Hyperlink" xfId="18" builtinId="8"/>
    <cellStyle name="InputCells" xfId="6" xr:uid="{00000000-0005-0000-0000-00000B000000}"/>
    <cellStyle name="Migliaia_tab emissioni" xfId="22" xr:uid="{00000000-0005-0000-0000-00001B000000}"/>
    <cellStyle name="Normal" xfId="0" builtinId="0"/>
    <cellStyle name="Normal 10" xfId="7" xr:uid="{00000000-0005-0000-0000-00000C000000}"/>
    <cellStyle name="Normal 10 2" xfId="20" xr:uid="{00000000-0005-0000-0000-000019000000}"/>
    <cellStyle name="Normal 11" xfId="29" xr:uid="{00000000-0005-0000-0000-000022000000}"/>
    <cellStyle name="Normal 12" xfId="25" xr:uid="{00000000-0005-0000-0000-00001E000000}"/>
    <cellStyle name="Normal 12 2" xfId="32" xr:uid="{00000000-0005-0000-0000-000025000000}"/>
    <cellStyle name="Normal 12 3" xfId="33" xr:uid="{00000000-0005-0000-0000-000026000000}"/>
    <cellStyle name="Normal 2" xfId="8" xr:uid="{00000000-0005-0000-0000-00000D000000}"/>
    <cellStyle name="Normal 3" xfId="9" xr:uid="{00000000-0005-0000-0000-00000E000000}"/>
    <cellStyle name="Normal 3 2" xfId="28" xr:uid="{00000000-0005-0000-0000-000021000000}"/>
    <cellStyle name="Normal 3 3" xfId="31" xr:uid="{00000000-0005-0000-0000-000024000000}"/>
    <cellStyle name="Normal 4" xfId="10" xr:uid="{00000000-0005-0000-0000-00000F000000}"/>
    <cellStyle name="Normal 5" xfId="19" xr:uid="{00000000-0005-0000-0000-000018000000}"/>
    <cellStyle name="Normal 5 2" xfId="27" xr:uid="{00000000-0005-0000-0000-000020000000}"/>
    <cellStyle name="Normal 5 3" xfId="30" xr:uid="{00000000-0005-0000-0000-000023000000}"/>
    <cellStyle name="Normal 6" xfId="21" xr:uid="{00000000-0005-0000-0000-00001A000000}"/>
    <cellStyle name="Normal 7" xfId="23" xr:uid="{00000000-0005-0000-0000-00001C000000}"/>
    <cellStyle name="Normal 8" xfId="26" xr:uid="{00000000-0005-0000-0000-00001F000000}"/>
    <cellStyle name="Normal 9" xfId="24" xr:uid="{00000000-0005-0000-0000-00001D000000}"/>
    <cellStyle name="Normal GHG Numbers (0.00)" xfId="11" xr:uid="{00000000-0005-0000-0000-000010000000}"/>
    <cellStyle name="Normal GHG Textfiels Bold" xfId="12" xr:uid="{00000000-0005-0000-0000-000011000000}"/>
    <cellStyle name="Normal GHG-Shade" xfId="13" xr:uid="{00000000-0005-0000-0000-000012000000}"/>
    <cellStyle name="Normale_B2020" xfId="14" xr:uid="{00000000-0005-0000-0000-000013000000}"/>
    <cellStyle name="Percent 2" xfId="15" xr:uid="{00000000-0005-0000-0000-000014000000}"/>
    <cellStyle name="Standard_Sce_D_Extraction" xfId="16" xr:uid="{00000000-0005-0000-0000-000015000000}"/>
    <cellStyle name="Обычный_CRF2002 (1)" xfId="17" xr:uid="{00000000-0005-0000-0000-00001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291398</xdr:colOff>
      <xdr:row>0</xdr:row>
      <xdr:rowOff>95627</xdr:rowOff>
    </xdr:from>
    <xdr:to>
      <xdr:col>19</xdr:col>
      <xdr:colOff>463784</xdr:colOff>
      <xdr:row>32</xdr:row>
      <xdr:rowOff>9036</xdr:rowOff>
    </xdr:to>
    <xdr:pic>
      <xdr:nvPicPr>
        <xdr:cNvPr id="2" name="Picture 1">
          <a:extLst>
            <a:ext uri="{FF2B5EF4-FFF2-40B4-BE49-F238E27FC236}">
              <a16:creationId xmlns:a16="http://schemas.microsoft.com/office/drawing/2014/main" id="{D9C76A1A-5743-9853-B8F7-1F910AF6FC01}"/>
            </a:ext>
          </a:extLst>
        </xdr:cNvPr>
        <xdr:cNvPicPr>
          <a:picLocks noChangeAspect="1"/>
        </xdr:cNvPicPr>
      </xdr:nvPicPr>
      <xdr:blipFill>
        <a:blip xmlns:r="http://schemas.openxmlformats.org/officeDocument/2006/relationships" r:embed="rId1"/>
        <a:stretch>
          <a:fillRect/>
        </a:stretch>
      </xdr:blipFill>
      <xdr:spPr>
        <a:xfrm>
          <a:off x="13782675" y="95250"/>
          <a:ext cx="4438650" cy="57054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iea-etsap.org/docs/Documentation_for_the_TIMES_Model-PartIII.pdf"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orum.kanors-emr.org/showthread.php?tid=152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E96D8-A835-430C-ADC5-007534119BFE}">
  <sheetPr codeName="Sheet1"/>
  <dimension ref="A1:K196"/>
  <sheetViews>
    <sheetView topLeftCell="A2" workbookViewId="0">
      <selection activeCell="D20" sqref="D20"/>
    </sheetView>
  </sheetViews>
  <sheetFormatPr defaultRowHeight="14.6" x14ac:dyDescent="0.4"/>
  <cols>
    <col min="1" max="1" width="26" customWidth="1"/>
    <col min="2" max="4" width="27" customWidth="1"/>
    <col min="5" max="5" width="22.3046875" bestFit="1" customWidth="1"/>
    <col min="6" max="8" width="27" customWidth="1"/>
  </cols>
  <sheetData>
    <row r="1" spans="1:11" x14ac:dyDescent="0.4">
      <c r="A1" s="16"/>
      <c r="E1" s="16"/>
    </row>
    <row r="2" spans="1:11" ht="56.25" customHeight="1" x14ac:dyDescent="0.4">
      <c r="A2" s="17" t="s">
        <v>10</v>
      </c>
      <c r="B2" s="5" t="s">
        <v>60</v>
      </c>
      <c r="C2" s="5"/>
      <c r="D2" s="5"/>
      <c r="E2" s="17" t="s">
        <v>10</v>
      </c>
      <c r="F2" s="5" t="s">
        <v>61</v>
      </c>
      <c r="G2" s="5"/>
      <c r="H2" s="5"/>
    </row>
    <row r="3" spans="1:11" ht="71.25" customHeight="1" x14ac:dyDescent="0.45">
      <c r="A3" s="17" t="s">
        <v>12</v>
      </c>
      <c r="B3" s="5" t="s">
        <v>19</v>
      </c>
      <c r="C3" s="5"/>
      <c r="D3" s="5"/>
      <c r="E3" s="17" t="s">
        <v>12</v>
      </c>
      <c r="F3" s="5" t="s">
        <v>19</v>
      </c>
      <c r="G3" s="5"/>
      <c r="H3" s="5"/>
      <c r="K3" s="19"/>
    </row>
    <row r="4" spans="1:11" x14ac:dyDescent="0.4">
      <c r="A4" s="16"/>
      <c r="E4" s="16"/>
    </row>
    <row r="5" spans="1:11" x14ac:dyDescent="0.4">
      <c r="A5" s="16"/>
      <c r="B5" s="20" t="s">
        <v>17</v>
      </c>
      <c r="C5" s="20" t="s">
        <v>10</v>
      </c>
      <c r="D5" s="20" t="s">
        <v>18</v>
      </c>
      <c r="E5" s="16"/>
      <c r="F5" s="20" t="s">
        <v>17</v>
      </c>
      <c r="G5" s="20" t="s">
        <v>10</v>
      </c>
      <c r="H5" s="20" t="s">
        <v>18</v>
      </c>
      <c r="K5" s="18"/>
    </row>
    <row r="6" spans="1:11" x14ac:dyDescent="0.4">
      <c r="A6" s="16"/>
      <c r="B6" t="s">
        <v>90</v>
      </c>
      <c r="C6" t="s">
        <v>91</v>
      </c>
      <c r="D6" t="s">
        <v>92</v>
      </c>
      <c r="E6" s="16"/>
      <c r="F6" t="s">
        <v>71</v>
      </c>
      <c r="G6" t="s">
        <v>72</v>
      </c>
      <c r="H6" t="s">
        <v>73</v>
      </c>
    </row>
    <row r="7" spans="1:11" x14ac:dyDescent="0.4">
      <c r="A7" s="16"/>
      <c r="B7" t="s">
        <v>93</v>
      </c>
      <c r="C7" t="s">
        <v>93</v>
      </c>
      <c r="D7" t="s">
        <v>92</v>
      </c>
      <c r="E7" s="16"/>
      <c r="F7" t="s">
        <v>74</v>
      </c>
      <c r="G7" t="s">
        <v>75</v>
      </c>
      <c r="H7" t="s">
        <v>73</v>
      </c>
    </row>
    <row r="8" spans="1:11" x14ac:dyDescent="0.4">
      <c r="A8" s="16"/>
      <c r="B8" t="s">
        <v>94</v>
      </c>
      <c r="C8" t="s">
        <v>95</v>
      </c>
      <c r="D8" t="s">
        <v>92</v>
      </c>
      <c r="E8" s="16"/>
      <c r="F8" t="s">
        <v>76</v>
      </c>
      <c r="G8" t="s">
        <v>77</v>
      </c>
      <c r="H8" t="s">
        <v>73</v>
      </c>
    </row>
    <row r="9" spans="1:11" x14ac:dyDescent="0.4">
      <c r="A9" s="16"/>
      <c r="B9" t="s">
        <v>96</v>
      </c>
      <c r="C9" t="s">
        <v>97</v>
      </c>
      <c r="D9" t="s">
        <v>92</v>
      </c>
      <c r="E9" s="16"/>
      <c r="F9" t="s">
        <v>78</v>
      </c>
      <c r="G9" t="s">
        <v>79</v>
      </c>
      <c r="H9" t="s">
        <v>73</v>
      </c>
    </row>
    <row r="10" spans="1:11" x14ac:dyDescent="0.4">
      <c r="A10" s="16"/>
      <c r="B10" t="s">
        <v>98</v>
      </c>
      <c r="C10" t="s">
        <v>99</v>
      </c>
      <c r="D10" t="s">
        <v>100</v>
      </c>
      <c r="E10" s="16"/>
      <c r="F10" t="s">
        <v>80</v>
      </c>
      <c r="G10" t="s">
        <v>81</v>
      </c>
      <c r="H10" t="s">
        <v>73</v>
      </c>
    </row>
    <row r="11" spans="1:11" x14ac:dyDescent="0.4">
      <c r="A11" s="16"/>
      <c r="B11" t="s">
        <v>101</v>
      </c>
      <c r="C11" t="s">
        <v>102</v>
      </c>
      <c r="D11" t="s">
        <v>100</v>
      </c>
      <c r="E11" s="16"/>
      <c r="F11" t="s">
        <v>82</v>
      </c>
      <c r="G11" t="s">
        <v>83</v>
      </c>
      <c r="H11" t="s">
        <v>73</v>
      </c>
    </row>
    <row r="12" spans="1:11" x14ac:dyDescent="0.4">
      <c r="A12" s="16"/>
      <c r="B12" t="s">
        <v>103</v>
      </c>
      <c r="C12" t="s">
        <v>104</v>
      </c>
      <c r="D12" t="s">
        <v>100</v>
      </c>
      <c r="E12" s="16"/>
      <c r="F12" t="s">
        <v>84</v>
      </c>
      <c r="G12" t="s">
        <v>85</v>
      </c>
      <c r="H12" t="s">
        <v>73</v>
      </c>
    </row>
    <row r="13" spans="1:11" x14ac:dyDescent="0.4">
      <c r="A13" s="16"/>
      <c r="B13" t="s">
        <v>105</v>
      </c>
      <c r="C13" t="s">
        <v>106</v>
      </c>
      <c r="D13" t="s">
        <v>100</v>
      </c>
      <c r="E13" s="16"/>
      <c r="F13" t="s">
        <v>86</v>
      </c>
      <c r="G13" s="40" t="s">
        <v>87</v>
      </c>
      <c r="H13" t="s">
        <v>73</v>
      </c>
    </row>
    <row r="14" spans="1:11" x14ac:dyDescent="0.4">
      <c r="A14" s="16"/>
      <c r="B14" t="s">
        <v>107</v>
      </c>
      <c r="C14" t="s">
        <v>108</v>
      </c>
      <c r="D14" t="s">
        <v>100</v>
      </c>
      <c r="E14" s="16"/>
      <c r="F14" t="s">
        <v>88</v>
      </c>
      <c r="G14" t="s">
        <v>89</v>
      </c>
      <c r="H14" t="s">
        <v>73</v>
      </c>
    </row>
    <row r="15" spans="1:11" x14ac:dyDescent="0.4">
      <c r="A15" s="16"/>
      <c r="B15" t="s">
        <v>109</v>
      </c>
      <c r="C15" t="s">
        <v>110</v>
      </c>
      <c r="D15" t="s">
        <v>100</v>
      </c>
      <c r="E15" s="16"/>
      <c r="F15" s="38"/>
      <c r="G15" s="38"/>
      <c r="H15" s="38"/>
    </row>
    <row r="16" spans="1:11" x14ac:dyDescent="0.4">
      <c r="A16" s="16"/>
      <c r="B16" t="s">
        <v>111</v>
      </c>
      <c r="C16" t="s">
        <v>112</v>
      </c>
      <c r="D16" t="s">
        <v>100</v>
      </c>
      <c r="E16" s="16"/>
      <c r="F16" s="38"/>
      <c r="G16" s="38"/>
      <c r="H16" s="38"/>
    </row>
    <row r="17" spans="1:8" x14ac:dyDescent="0.4">
      <c r="A17" s="16"/>
      <c r="B17" t="s">
        <v>113</v>
      </c>
      <c r="C17" t="s">
        <v>114</v>
      </c>
      <c r="D17" t="s">
        <v>100</v>
      </c>
      <c r="E17" s="16"/>
      <c r="F17" s="38"/>
      <c r="G17" s="38"/>
      <c r="H17" s="38"/>
    </row>
    <row r="18" spans="1:8" x14ac:dyDescent="0.4">
      <c r="A18" s="16"/>
      <c r="B18" t="s">
        <v>115</v>
      </c>
      <c r="C18" t="s">
        <v>116</v>
      </c>
      <c r="D18" t="s">
        <v>100</v>
      </c>
      <c r="E18" s="16"/>
      <c r="F18" s="38"/>
      <c r="G18" s="38"/>
      <c r="H18" s="38"/>
    </row>
    <row r="19" spans="1:8" x14ac:dyDescent="0.4">
      <c r="A19" s="16"/>
      <c r="B19" t="s">
        <v>117</v>
      </c>
      <c r="C19" t="s">
        <v>118</v>
      </c>
      <c r="D19" t="s">
        <v>100</v>
      </c>
      <c r="E19" s="16"/>
      <c r="F19" s="38"/>
      <c r="G19" s="38"/>
      <c r="H19" s="38"/>
    </row>
    <row r="20" spans="1:8" x14ac:dyDescent="0.4">
      <c r="A20" s="16"/>
      <c r="B20" t="s">
        <v>119</v>
      </c>
      <c r="C20" t="s">
        <v>120</v>
      </c>
      <c r="D20" t="s">
        <v>121</v>
      </c>
      <c r="E20" s="16"/>
      <c r="F20" s="39"/>
      <c r="G20" s="39"/>
      <c r="H20" s="39"/>
    </row>
    <row r="21" spans="1:8" x14ac:dyDescent="0.4">
      <c r="A21" s="16"/>
      <c r="B21" t="s">
        <v>122</v>
      </c>
      <c r="C21" t="s">
        <v>123</v>
      </c>
      <c r="D21" t="s">
        <v>121</v>
      </c>
      <c r="E21" s="16"/>
    </row>
    <row r="22" spans="1:8" x14ac:dyDescent="0.4">
      <c r="A22" s="16"/>
      <c r="B22" t="s">
        <v>124</v>
      </c>
      <c r="C22" t="s">
        <v>125</v>
      </c>
      <c r="D22" t="s">
        <v>121</v>
      </c>
      <c r="E22" s="16"/>
    </row>
    <row r="23" spans="1:8" x14ac:dyDescent="0.4">
      <c r="A23" s="16"/>
      <c r="B23" t="s">
        <v>126</v>
      </c>
      <c r="C23" t="s">
        <v>127</v>
      </c>
      <c r="D23" t="s">
        <v>121</v>
      </c>
      <c r="E23" s="16"/>
    </row>
    <row r="24" spans="1:8" x14ac:dyDescent="0.4">
      <c r="A24" s="16"/>
      <c r="B24" t="s">
        <v>128</v>
      </c>
      <c r="C24" t="s">
        <v>129</v>
      </c>
      <c r="D24" t="s">
        <v>121</v>
      </c>
      <c r="E24" s="16"/>
    </row>
    <row r="25" spans="1:8" x14ac:dyDescent="0.4">
      <c r="A25" s="16"/>
      <c r="B25" t="s">
        <v>130</v>
      </c>
      <c r="C25" t="s">
        <v>131</v>
      </c>
      <c r="D25" t="s">
        <v>121</v>
      </c>
      <c r="E25" s="16"/>
    </row>
    <row r="26" spans="1:8" x14ac:dyDescent="0.4">
      <c r="A26" s="16"/>
      <c r="B26" t="s">
        <v>132</v>
      </c>
      <c r="C26" t="s">
        <v>133</v>
      </c>
      <c r="D26" t="s">
        <v>121</v>
      </c>
      <c r="E26" s="16"/>
    </row>
    <row r="27" spans="1:8" x14ac:dyDescent="0.4">
      <c r="A27" s="16"/>
      <c r="B27" t="s">
        <v>134</v>
      </c>
      <c r="C27" t="s">
        <v>135</v>
      </c>
      <c r="D27" t="s">
        <v>121</v>
      </c>
      <c r="E27" s="16"/>
    </row>
    <row r="28" spans="1:8" x14ac:dyDescent="0.4">
      <c r="A28" s="16"/>
      <c r="B28" t="s">
        <v>136</v>
      </c>
      <c r="C28" t="s">
        <v>137</v>
      </c>
      <c r="D28" t="s">
        <v>138</v>
      </c>
      <c r="E28" s="16"/>
    </row>
    <row r="29" spans="1:8" x14ac:dyDescent="0.4">
      <c r="A29" s="16"/>
      <c r="B29" t="s">
        <v>139</v>
      </c>
      <c r="C29" t="s">
        <v>140</v>
      </c>
      <c r="D29" t="s">
        <v>138</v>
      </c>
      <c r="E29" s="16"/>
    </row>
    <row r="30" spans="1:8" x14ac:dyDescent="0.4">
      <c r="A30" s="16"/>
      <c r="B30" t="s">
        <v>141</v>
      </c>
      <c r="C30" t="s">
        <v>142</v>
      </c>
      <c r="D30" t="s">
        <v>138</v>
      </c>
      <c r="E30" s="16"/>
    </row>
    <row r="31" spans="1:8" x14ac:dyDescent="0.4">
      <c r="A31" s="16"/>
      <c r="B31" t="s">
        <v>143</v>
      </c>
      <c r="C31" t="s">
        <v>144</v>
      </c>
      <c r="D31" t="s">
        <v>138</v>
      </c>
      <c r="E31" s="16"/>
    </row>
    <row r="32" spans="1:8" x14ac:dyDescent="0.4">
      <c r="A32" s="16"/>
      <c r="B32" t="s">
        <v>145</v>
      </c>
      <c r="C32" t="s">
        <v>146</v>
      </c>
      <c r="D32" t="s">
        <v>138</v>
      </c>
      <c r="E32" s="16"/>
    </row>
    <row r="33" spans="1:5" x14ac:dyDescent="0.4">
      <c r="A33" s="16"/>
      <c r="B33" t="s">
        <v>147</v>
      </c>
      <c r="C33" t="s">
        <v>148</v>
      </c>
      <c r="D33" t="s">
        <v>138</v>
      </c>
      <c r="E33" s="16"/>
    </row>
    <row r="34" spans="1:5" x14ac:dyDescent="0.4">
      <c r="A34" s="16"/>
      <c r="B34" t="s">
        <v>149</v>
      </c>
      <c r="C34" t="s">
        <v>150</v>
      </c>
      <c r="D34" t="s">
        <v>138</v>
      </c>
      <c r="E34" s="16"/>
    </row>
    <row r="35" spans="1:5" x14ac:dyDescent="0.4">
      <c r="A35" s="16"/>
      <c r="B35" t="s">
        <v>151</v>
      </c>
      <c r="C35" t="s">
        <v>152</v>
      </c>
      <c r="D35" t="s">
        <v>138</v>
      </c>
      <c r="E35" s="16"/>
    </row>
    <row r="36" spans="1:5" x14ac:dyDescent="0.4">
      <c r="A36" s="16"/>
      <c r="B36" t="s">
        <v>153</v>
      </c>
      <c r="C36" t="s">
        <v>154</v>
      </c>
      <c r="D36" t="s">
        <v>138</v>
      </c>
      <c r="E36" s="16"/>
    </row>
    <row r="37" spans="1:5" x14ac:dyDescent="0.4">
      <c r="A37" s="16"/>
      <c r="B37" t="s">
        <v>155</v>
      </c>
      <c r="C37" t="s">
        <v>156</v>
      </c>
      <c r="D37" t="s">
        <v>138</v>
      </c>
      <c r="E37" s="16"/>
    </row>
    <row r="38" spans="1:5" x14ac:dyDescent="0.4">
      <c r="A38" s="16"/>
      <c r="B38" t="s">
        <v>157</v>
      </c>
      <c r="C38" t="s">
        <v>158</v>
      </c>
      <c r="D38" t="s">
        <v>138</v>
      </c>
      <c r="E38" s="16"/>
    </row>
    <row r="39" spans="1:5" x14ac:dyDescent="0.4">
      <c r="A39" s="16"/>
      <c r="B39" t="s">
        <v>159</v>
      </c>
      <c r="C39" t="s">
        <v>160</v>
      </c>
      <c r="D39" t="s">
        <v>138</v>
      </c>
      <c r="E39" s="16"/>
    </row>
    <row r="40" spans="1:5" x14ac:dyDescent="0.4">
      <c r="A40" s="16"/>
      <c r="B40" t="s">
        <v>161</v>
      </c>
      <c r="C40" t="s">
        <v>162</v>
      </c>
      <c r="D40" t="s">
        <v>138</v>
      </c>
      <c r="E40" s="16"/>
    </row>
    <row r="41" spans="1:5" x14ac:dyDescent="0.4">
      <c r="A41" s="16"/>
      <c r="B41" t="s">
        <v>163</v>
      </c>
      <c r="C41" t="s">
        <v>164</v>
      </c>
      <c r="D41" t="s">
        <v>138</v>
      </c>
      <c r="E41" s="16"/>
    </row>
    <row r="42" spans="1:5" x14ac:dyDescent="0.4">
      <c r="A42" s="16"/>
      <c r="B42" t="s">
        <v>165</v>
      </c>
      <c r="C42" t="s">
        <v>166</v>
      </c>
      <c r="D42" t="s">
        <v>138</v>
      </c>
      <c r="E42" s="16"/>
    </row>
    <row r="43" spans="1:5" x14ac:dyDescent="0.4">
      <c r="A43" s="16"/>
      <c r="B43" t="s">
        <v>167</v>
      </c>
      <c r="C43" t="s">
        <v>168</v>
      </c>
      <c r="D43" t="s">
        <v>138</v>
      </c>
      <c r="E43" s="16"/>
    </row>
    <row r="44" spans="1:5" x14ac:dyDescent="0.4">
      <c r="A44" s="16"/>
      <c r="B44" t="s">
        <v>169</v>
      </c>
      <c r="C44" t="s">
        <v>170</v>
      </c>
      <c r="D44" t="s">
        <v>138</v>
      </c>
      <c r="E44" s="16"/>
    </row>
    <row r="45" spans="1:5" x14ac:dyDescent="0.4">
      <c r="A45" s="16"/>
      <c r="B45" t="s">
        <v>171</v>
      </c>
      <c r="C45" t="s">
        <v>172</v>
      </c>
      <c r="D45" t="s">
        <v>138</v>
      </c>
      <c r="E45" s="16"/>
    </row>
    <row r="46" spans="1:5" x14ac:dyDescent="0.4">
      <c r="A46" s="16"/>
      <c r="B46" t="s">
        <v>173</v>
      </c>
      <c r="C46" t="s">
        <v>174</v>
      </c>
      <c r="D46" t="s">
        <v>138</v>
      </c>
      <c r="E46" s="16"/>
    </row>
    <row r="47" spans="1:5" x14ac:dyDescent="0.4">
      <c r="A47" s="16"/>
      <c r="B47" t="s">
        <v>175</v>
      </c>
      <c r="C47" t="s">
        <v>176</v>
      </c>
      <c r="D47" t="s">
        <v>138</v>
      </c>
      <c r="E47" s="16"/>
    </row>
    <row r="48" spans="1:5" x14ac:dyDescent="0.4">
      <c r="A48" s="16"/>
      <c r="B48" t="s">
        <v>177</v>
      </c>
      <c r="C48" t="s">
        <v>178</v>
      </c>
      <c r="D48" t="s">
        <v>138</v>
      </c>
      <c r="E48" s="16"/>
    </row>
    <row r="49" spans="1:5" x14ac:dyDescent="0.4">
      <c r="A49" s="16"/>
      <c r="B49" t="s">
        <v>179</v>
      </c>
      <c r="C49" t="s">
        <v>180</v>
      </c>
      <c r="D49" t="s">
        <v>138</v>
      </c>
      <c r="E49" s="16"/>
    </row>
    <row r="50" spans="1:5" x14ac:dyDescent="0.4">
      <c r="A50" s="16"/>
      <c r="B50" t="s">
        <v>181</v>
      </c>
      <c r="C50" t="s">
        <v>182</v>
      </c>
      <c r="D50" t="s">
        <v>138</v>
      </c>
      <c r="E50" s="16"/>
    </row>
    <row r="51" spans="1:5" x14ac:dyDescent="0.4">
      <c r="A51" s="16"/>
      <c r="B51" t="s">
        <v>183</v>
      </c>
      <c r="C51" t="s">
        <v>135</v>
      </c>
      <c r="D51" t="s">
        <v>138</v>
      </c>
      <c r="E51" s="16"/>
    </row>
    <row r="52" spans="1:5" x14ac:dyDescent="0.4">
      <c r="A52" s="16"/>
      <c r="B52" t="s">
        <v>184</v>
      </c>
      <c r="C52" t="s">
        <v>85</v>
      </c>
      <c r="D52" t="s">
        <v>185</v>
      </c>
      <c r="E52" s="16"/>
    </row>
    <row r="53" spans="1:5" x14ac:dyDescent="0.4">
      <c r="A53" s="16"/>
      <c r="B53" t="s">
        <v>186</v>
      </c>
      <c r="C53" t="s">
        <v>72</v>
      </c>
      <c r="D53" t="s">
        <v>185</v>
      </c>
      <c r="E53" s="16"/>
    </row>
    <row r="54" spans="1:5" x14ac:dyDescent="0.4">
      <c r="A54" s="16"/>
      <c r="B54" t="s">
        <v>187</v>
      </c>
      <c r="C54" t="s">
        <v>75</v>
      </c>
      <c r="D54" t="s">
        <v>185</v>
      </c>
      <c r="E54" s="16"/>
    </row>
    <row r="55" spans="1:5" x14ac:dyDescent="0.4">
      <c r="A55" s="16"/>
      <c r="B55" t="s">
        <v>188</v>
      </c>
      <c r="C55" t="s">
        <v>77</v>
      </c>
      <c r="D55" t="s">
        <v>185</v>
      </c>
      <c r="E55" s="16"/>
    </row>
    <row r="56" spans="1:5" x14ac:dyDescent="0.4">
      <c r="A56" s="16"/>
      <c r="B56" t="s">
        <v>189</v>
      </c>
      <c r="C56" t="s">
        <v>79</v>
      </c>
      <c r="D56" t="s">
        <v>185</v>
      </c>
      <c r="E56" s="16"/>
    </row>
    <row r="57" spans="1:5" x14ac:dyDescent="0.4">
      <c r="A57" s="16"/>
      <c r="B57" t="s">
        <v>190</v>
      </c>
      <c r="C57" t="s">
        <v>81</v>
      </c>
      <c r="D57" t="s">
        <v>185</v>
      </c>
      <c r="E57" s="16"/>
    </row>
    <row r="58" spans="1:5" x14ac:dyDescent="0.4">
      <c r="A58" s="16"/>
      <c r="B58" t="s">
        <v>191</v>
      </c>
      <c r="C58" t="s">
        <v>192</v>
      </c>
      <c r="D58" t="s">
        <v>185</v>
      </c>
      <c r="E58" s="16"/>
    </row>
    <row r="59" spans="1:5" x14ac:dyDescent="0.4">
      <c r="A59" s="16"/>
      <c r="B59" t="s">
        <v>193</v>
      </c>
      <c r="C59" t="s">
        <v>194</v>
      </c>
      <c r="D59" t="s">
        <v>185</v>
      </c>
      <c r="E59" s="16"/>
    </row>
    <row r="60" spans="1:5" x14ac:dyDescent="0.4">
      <c r="A60" s="16"/>
      <c r="E60" s="16"/>
    </row>
    <row r="61" spans="1:5" x14ac:dyDescent="0.4">
      <c r="A61" s="16"/>
      <c r="E61" s="16"/>
    </row>
    <row r="62" spans="1:5" x14ac:dyDescent="0.4">
      <c r="A62" s="16"/>
      <c r="E62" s="16"/>
    </row>
    <row r="63" spans="1:5" x14ac:dyDescent="0.4">
      <c r="A63" s="16"/>
      <c r="E63" s="16"/>
    </row>
    <row r="64" spans="1:5" x14ac:dyDescent="0.4">
      <c r="A64" s="16"/>
      <c r="E64" s="16"/>
    </row>
    <row r="65" spans="1:5" x14ac:dyDescent="0.4">
      <c r="A65" s="16"/>
      <c r="E65" s="16"/>
    </row>
    <row r="66" spans="1:5" x14ac:dyDescent="0.4">
      <c r="A66" s="16"/>
      <c r="E66" s="16"/>
    </row>
    <row r="67" spans="1:5" x14ac:dyDescent="0.4">
      <c r="A67" s="16"/>
      <c r="E67" s="16"/>
    </row>
    <row r="68" spans="1:5" x14ac:dyDescent="0.4">
      <c r="A68" s="16"/>
      <c r="E68" s="16"/>
    </row>
    <row r="69" spans="1:5" x14ac:dyDescent="0.4">
      <c r="A69" s="16"/>
      <c r="E69" s="16"/>
    </row>
    <row r="70" spans="1:5" x14ac:dyDescent="0.4">
      <c r="A70" s="16"/>
      <c r="E70" s="16"/>
    </row>
    <row r="71" spans="1:5" x14ac:dyDescent="0.4">
      <c r="A71" s="16"/>
      <c r="E71" s="16"/>
    </row>
    <row r="72" spans="1:5" x14ac:dyDescent="0.4">
      <c r="A72" s="16"/>
      <c r="E72" s="16"/>
    </row>
    <row r="73" spans="1:5" x14ac:dyDescent="0.4">
      <c r="A73" s="16"/>
      <c r="E73" s="16"/>
    </row>
    <row r="74" spans="1:5" x14ac:dyDescent="0.4">
      <c r="A74" s="16"/>
      <c r="E74" s="16"/>
    </row>
    <row r="75" spans="1:5" x14ac:dyDescent="0.4">
      <c r="A75" s="16"/>
      <c r="E75" s="16"/>
    </row>
    <row r="76" spans="1:5" x14ac:dyDescent="0.4">
      <c r="A76" s="16"/>
      <c r="E76" s="16"/>
    </row>
    <row r="77" spans="1:5" x14ac:dyDescent="0.4">
      <c r="A77" s="16"/>
      <c r="E77" s="16"/>
    </row>
    <row r="78" spans="1:5" x14ac:dyDescent="0.4">
      <c r="A78" s="16"/>
      <c r="E78" s="16"/>
    </row>
    <row r="79" spans="1:5" x14ac:dyDescent="0.4">
      <c r="A79" s="16"/>
      <c r="E79" s="16"/>
    </row>
    <row r="80" spans="1:5" x14ac:dyDescent="0.4">
      <c r="A80" s="16"/>
      <c r="E80" s="16"/>
    </row>
    <row r="81" spans="1:5" x14ac:dyDescent="0.4">
      <c r="A81" s="16"/>
      <c r="E81" s="16"/>
    </row>
    <row r="82" spans="1:5" x14ac:dyDescent="0.4">
      <c r="A82" s="16"/>
      <c r="E82" s="16"/>
    </row>
    <row r="83" spans="1:5" x14ac:dyDescent="0.4">
      <c r="A83" s="16"/>
      <c r="E83" s="16"/>
    </row>
    <row r="84" spans="1:5" x14ac:dyDescent="0.4">
      <c r="A84" s="16"/>
      <c r="E84" s="16"/>
    </row>
    <row r="85" spans="1:5" x14ac:dyDescent="0.4">
      <c r="A85" s="16"/>
      <c r="E85" s="16"/>
    </row>
    <row r="86" spans="1:5" x14ac:dyDescent="0.4">
      <c r="A86" s="16"/>
      <c r="E86" s="16"/>
    </row>
    <row r="87" spans="1:5" x14ac:dyDescent="0.4">
      <c r="A87" s="16"/>
      <c r="E87" s="16"/>
    </row>
    <row r="88" spans="1:5" x14ac:dyDescent="0.4">
      <c r="A88" s="16"/>
      <c r="E88" s="16"/>
    </row>
    <row r="89" spans="1:5" x14ac:dyDescent="0.4">
      <c r="A89" s="16"/>
      <c r="E89" s="16"/>
    </row>
    <row r="90" spans="1:5" x14ac:dyDescent="0.4">
      <c r="A90" s="16"/>
      <c r="E90" s="16"/>
    </row>
    <row r="91" spans="1:5" x14ac:dyDescent="0.4">
      <c r="A91" s="16"/>
      <c r="E91" s="16"/>
    </row>
    <row r="92" spans="1:5" x14ac:dyDescent="0.4">
      <c r="A92" s="16"/>
      <c r="E92" s="16"/>
    </row>
    <row r="93" spans="1:5" x14ac:dyDescent="0.4">
      <c r="A93" s="16"/>
      <c r="E93" s="16"/>
    </row>
    <row r="94" spans="1:5" x14ac:dyDescent="0.4">
      <c r="A94" s="16"/>
      <c r="E94" s="16"/>
    </row>
    <row r="95" spans="1:5" x14ac:dyDescent="0.4">
      <c r="A95" s="16"/>
      <c r="E95" s="16"/>
    </row>
    <row r="96" spans="1:5" x14ac:dyDescent="0.4">
      <c r="A96" s="16"/>
      <c r="E96" s="16"/>
    </row>
    <row r="97" spans="1:5" x14ac:dyDescent="0.4">
      <c r="A97" s="16"/>
      <c r="E97" s="16"/>
    </row>
    <row r="98" spans="1:5" x14ac:dyDescent="0.4">
      <c r="A98" s="16"/>
      <c r="E98" s="16"/>
    </row>
    <row r="99" spans="1:5" x14ac:dyDescent="0.4">
      <c r="A99" s="16"/>
      <c r="E99" s="16"/>
    </row>
    <row r="100" spans="1:5" x14ac:dyDescent="0.4">
      <c r="A100" s="16"/>
      <c r="E100" s="16"/>
    </row>
    <row r="101" spans="1:5" x14ac:dyDescent="0.4">
      <c r="A101" s="16"/>
      <c r="E101" s="16"/>
    </row>
    <row r="102" spans="1:5" x14ac:dyDescent="0.4">
      <c r="A102" s="16"/>
      <c r="E102" s="16"/>
    </row>
    <row r="103" spans="1:5" x14ac:dyDescent="0.4">
      <c r="A103" s="16"/>
      <c r="E103" s="16"/>
    </row>
    <row r="104" spans="1:5" x14ac:dyDescent="0.4">
      <c r="A104" s="16"/>
      <c r="E104" s="16"/>
    </row>
    <row r="105" spans="1:5" x14ac:dyDescent="0.4">
      <c r="A105" s="16"/>
      <c r="E105" s="16"/>
    </row>
    <row r="106" spans="1:5" x14ac:dyDescent="0.4">
      <c r="A106" s="16"/>
      <c r="E106" s="16"/>
    </row>
    <row r="107" spans="1:5" x14ac:dyDescent="0.4">
      <c r="A107" s="16"/>
      <c r="E107" s="16"/>
    </row>
    <row r="108" spans="1:5" x14ac:dyDescent="0.4">
      <c r="A108" s="16"/>
      <c r="E108" s="16"/>
    </row>
    <row r="109" spans="1:5" x14ac:dyDescent="0.4">
      <c r="A109" s="16"/>
      <c r="E109" s="16"/>
    </row>
    <row r="110" spans="1:5" x14ac:dyDescent="0.4">
      <c r="A110" s="16"/>
      <c r="E110" s="16"/>
    </row>
    <row r="111" spans="1:5" x14ac:dyDescent="0.4">
      <c r="A111" s="16"/>
      <c r="E111" s="16"/>
    </row>
    <row r="112" spans="1:5" x14ac:dyDescent="0.4">
      <c r="A112" s="16"/>
      <c r="E112" s="16"/>
    </row>
    <row r="113" spans="1:5" x14ac:dyDescent="0.4">
      <c r="A113" s="16"/>
      <c r="E113" s="16"/>
    </row>
    <row r="114" spans="1:5" x14ac:dyDescent="0.4">
      <c r="A114" s="16"/>
      <c r="E114" s="16"/>
    </row>
    <row r="115" spans="1:5" x14ac:dyDescent="0.4">
      <c r="A115" s="16"/>
      <c r="E115" s="16"/>
    </row>
    <row r="116" spans="1:5" x14ac:dyDescent="0.4">
      <c r="A116" s="16"/>
      <c r="E116" s="16"/>
    </row>
    <row r="117" spans="1:5" x14ac:dyDescent="0.4">
      <c r="A117" s="16"/>
      <c r="E117" s="16"/>
    </row>
    <row r="118" spans="1:5" x14ac:dyDescent="0.4">
      <c r="A118" s="16"/>
      <c r="E118" s="16"/>
    </row>
    <row r="119" spans="1:5" x14ac:dyDescent="0.4">
      <c r="A119" s="16"/>
      <c r="E119" s="16"/>
    </row>
    <row r="120" spans="1:5" x14ac:dyDescent="0.4">
      <c r="A120" s="16"/>
      <c r="E120" s="16"/>
    </row>
    <row r="121" spans="1:5" x14ac:dyDescent="0.4">
      <c r="A121" s="16"/>
      <c r="E121" s="16"/>
    </row>
    <row r="122" spans="1:5" x14ac:dyDescent="0.4">
      <c r="A122" s="16"/>
      <c r="E122" s="16"/>
    </row>
    <row r="123" spans="1:5" x14ac:dyDescent="0.4">
      <c r="A123" s="16"/>
      <c r="E123" s="16"/>
    </row>
    <row r="124" spans="1:5" x14ac:dyDescent="0.4">
      <c r="A124" s="16"/>
      <c r="E124" s="16"/>
    </row>
    <row r="125" spans="1:5" x14ac:dyDescent="0.4">
      <c r="A125" s="16"/>
      <c r="E125" s="16"/>
    </row>
    <row r="126" spans="1:5" x14ac:dyDescent="0.4">
      <c r="A126" s="16"/>
      <c r="E126" s="16"/>
    </row>
    <row r="127" spans="1:5" x14ac:dyDescent="0.4">
      <c r="A127" s="16"/>
      <c r="E127" s="16"/>
    </row>
    <row r="128" spans="1:5" x14ac:dyDescent="0.4">
      <c r="A128" s="16"/>
      <c r="E128" s="16"/>
    </row>
    <row r="129" spans="1:5" x14ac:dyDescent="0.4">
      <c r="A129" s="16"/>
      <c r="E129" s="16"/>
    </row>
    <row r="130" spans="1:5" x14ac:dyDescent="0.4">
      <c r="A130" s="16"/>
      <c r="E130" s="16"/>
    </row>
    <row r="131" spans="1:5" x14ac:dyDescent="0.4">
      <c r="A131" s="16"/>
      <c r="E131" s="16"/>
    </row>
    <row r="132" spans="1:5" x14ac:dyDescent="0.4">
      <c r="A132" s="16"/>
      <c r="E132" s="16"/>
    </row>
    <row r="133" spans="1:5" x14ac:dyDescent="0.4">
      <c r="A133" s="16"/>
      <c r="E133" s="16"/>
    </row>
    <row r="134" spans="1:5" x14ac:dyDescent="0.4">
      <c r="A134" s="16"/>
      <c r="E134" s="16"/>
    </row>
    <row r="135" spans="1:5" x14ac:dyDescent="0.4">
      <c r="A135" s="16"/>
      <c r="E135" s="16"/>
    </row>
    <row r="136" spans="1:5" x14ac:dyDescent="0.4">
      <c r="A136" s="16"/>
      <c r="E136" s="16"/>
    </row>
    <row r="137" spans="1:5" x14ac:dyDescent="0.4">
      <c r="A137" s="16"/>
      <c r="E137" s="16"/>
    </row>
    <row r="138" spans="1:5" x14ac:dyDescent="0.4">
      <c r="A138" s="16"/>
      <c r="E138" s="16"/>
    </row>
    <row r="139" spans="1:5" x14ac:dyDescent="0.4">
      <c r="A139" s="16"/>
      <c r="E139" s="16"/>
    </row>
    <row r="140" spans="1:5" x14ac:dyDescent="0.4">
      <c r="A140" s="16"/>
      <c r="E140" s="16"/>
    </row>
    <row r="141" spans="1:5" x14ac:dyDescent="0.4">
      <c r="A141" s="16"/>
      <c r="E141" s="16"/>
    </row>
    <row r="142" spans="1:5" x14ac:dyDescent="0.4">
      <c r="A142" s="16"/>
      <c r="E142" s="16"/>
    </row>
    <row r="143" spans="1:5" x14ac:dyDescent="0.4">
      <c r="A143" s="16"/>
      <c r="E143" s="16"/>
    </row>
    <row r="144" spans="1:5" x14ac:dyDescent="0.4">
      <c r="A144" s="16"/>
      <c r="E144" s="16"/>
    </row>
    <row r="145" spans="1:5" x14ac:dyDescent="0.4">
      <c r="A145" s="16"/>
      <c r="E145" s="16"/>
    </row>
    <row r="146" spans="1:5" x14ac:dyDescent="0.4">
      <c r="A146" s="16"/>
      <c r="E146" s="16"/>
    </row>
    <row r="147" spans="1:5" x14ac:dyDescent="0.4">
      <c r="A147" s="16"/>
      <c r="E147" s="16"/>
    </row>
    <row r="148" spans="1:5" x14ac:dyDescent="0.4">
      <c r="A148" s="16"/>
      <c r="E148" s="16"/>
    </row>
    <row r="149" spans="1:5" x14ac:dyDescent="0.4">
      <c r="A149" s="16"/>
      <c r="E149" s="16"/>
    </row>
    <row r="150" spans="1:5" x14ac:dyDescent="0.4">
      <c r="A150" s="16"/>
      <c r="E150" s="16"/>
    </row>
    <row r="151" spans="1:5" x14ac:dyDescent="0.4">
      <c r="A151" s="16"/>
      <c r="E151" s="16"/>
    </row>
    <row r="152" spans="1:5" x14ac:dyDescent="0.4">
      <c r="A152" s="16"/>
      <c r="E152" s="16"/>
    </row>
    <row r="153" spans="1:5" x14ac:dyDescent="0.4">
      <c r="A153" s="16"/>
      <c r="E153" s="16"/>
    </row>
    <row r="154" spans="1:5" x14ac:dyDescent="0.4">
      <c r="A154" s="16"/>
      <c r="E154" s="16"/>
    </row>
    <row r="155" spans="1:5" x14ac:dyDescent="0.4">
      <c r="A155" s="16"/>
      <c r="E155" s="16"/>
    </row>
    <row r="156" spans="1:5" x14ac:dyDescent="0.4">
      <c r="A156" s="16"/>
      <c r="E156" s="16"/>
    </row>
    <row r="157" spans="1:5" x14ac:dyDescent="0.4">
      <c r="A157" s="16"/>
      <c r="E157" s="16"/>
    </row>
    <row r="158" spans="1:5" x14ac:dyDescent="0.4">
      <c r="A158" s="16"/>
      <c r="E158" s="16"/>
    </row>
    <row r="159" spans="1:5" x14ac:dyDescent="0.4">
      <c r="A159" s="16"/>
      <c r="E159" s="16"/>
    </row>
    <row r="160" spans="1:5" x14ac:dyDescent="0.4">
      <c r="A160" s="16"/>
      <c r="E160" s="16"/>
    </row>
    <row r="161" spans="1:5" x14ac:dyDescent="0.4">
      <c r="A161" s="16"/>
      <c r="E161" s="16"/>
    </row>
    <row r="162" spans="1:5" x14ac:dyDescent="0.4">
      <c r="A162" s="16"/>
      <c r="E162" s="16"/>
    </row>
    <row r="163" spans="1:5" x14ac:dyDescent="0.4">
      <c r="A163" s="16"/>
      <c r="E163" s="16"/>
    </row>
    <row r="164" spans="1:5" x14ac:dyDescent="0.4">
      <c r="A164" s="16"/>
      <c r="E164" s="16"/>
    </row>
    <row r="165" spans="1:5" x14ac:dyDescent="0.4">
      <c r="A165" s="16"/>
      <c r="E165" s="16"/>
    </row>
    <row r="166" spans="1:5" x14ac:dyDescent="0.4">
      <c r="A166" s="16"/>
      <c r="E166" s="16"/>
    </row>
    <row r="167" spans="1:5" x14ac:dyDescent="0.4">
      <c r="A167" s="16"/>
      <c r="E167" s="16"/>
    </row>
    <row r="168" spans="1:5" x14ac:dyDescent="0.4">
      <c r="A168" s="16"/>
      <c r="E168" s="16"/>
    </row>
    <row r="169" spans="1:5" x14ac:dyDescent="0.4">
      <c r="A169" s="16"/>
      <c r="E169" s="16"/>
    </row>
    <row r="170" spans="1:5" x14ac:dyDescent="0.4">
      <c r="A170" s="16"/>
      <c r="E170" s="16"/>
    </row>
    <row r="171" spans="1:5" x14ac:dyDescent="0.4">
      <c r="A171" s="16"/>
      <c r="E171" s="16"/>
    </row>
    <row r="172" spans="1:5" x14ac:dyDescent="0.4">
      <c r="A172" s="16"/>
      <c r="E172" s="16"/>
    </row>
    <row r="173" spans="1:5" x14ac:dyDescent="0.4">
      <c r="A173" s="16"/>
      <c r="E173" s="16"/>
    </row>
    <row r="174" spans="1:5" x14ac:dyDescent="0.4">
      <c r="A174" s="16"/>
      <c r="E174" s="16"/>
    </row>
    <row r="175" spans="1:5" x14ac:dyDescent="0.4">
      <c r="A175" s="16"/>
      <c r="E175" s="16"/>
    </row>
    <row r="176" spans="1:5" x14ac:dyDescent="0.4">
      <c r="A176" s="16"/>
      <c r="E176" s="16"/>
    </row>
    <row r="177" spans="1:5" x14ac:dyDescent="0.4">
      <c r="A177" s="16"/>
      <c r="E177" s="16"/>
    </row>
    <row r="178" spans="1:5" x14ac:dyDescent="0.4">
      <c r="A178" s="16"/>
      <c r="E178" s="16"/>
    </row>
    <row r="179" spans="1:5" x14ac:dyDescent="0.4">
      <c r="A179" s="16"/>
      <c r="E179" s="16"/>
    </row>
    <row r="180" spans="1:5" x14ac:dyDescent="0.4">
      <c r="A180" s="16"/>
      <c r="E180" s="16"/>
    </row>
    <row r="181" spans="1:5" x14ac:dyDescent="0.4">
      <c r="A181" s="16"/>
      <c r="E181" s="16"/>
    </row>
    <row r="182" spans="1:5" x14ac:dyDescent="0.4">
      <c r="A182" s="16"/>
      <c r="E182" s="16"/>
    </row>
    <row r="183" spans="1:5" x14ac:dyDescent="0.4">
      <c r="A183" s="16"/>
      <c r="E183" s="16"/>
    </row>
    <row r="184" spans="1:5" x14ac:dyDescent="0.4">
      <c r="A184" s="16"/>
      <c r="E184" s="16"/>
    </row>
    <row r="185" spans="1:5" x14ac:dyDescent="0.4">
      <c r="A185" s="16"/>
      <c r="E185" s="16"/>
    </row>
    <row r="186" spans="1:5" x14ac:dyDescent="0.4">
      <c r="A186" s="16"/>
      <c r="E186" s="16"/>
    </row>
    <row r="187" spans="1:5" x14ac:dyDescent="0.4">
      <c r="A187" s="16"/>
      <c r="E187" s="16"/>
    </row>
    <row r="188" spans="1:5" x14ac:dyDescent="0.4">
      <c r="A188" s="16"/>
      <c r="E188" s="16"/>
    </row>
    <row r="189" spans="1:5" x14ac:dyDescent="0.4">
      <c r="A189" s="16"/>
      <c r="E189" s="16"/>
    </row>
    <row r="190" spans="1:5" x14ac:dyDescent="0.4">
      <c r="A190" s="16"/>
      <c r="E190" s="16"/>
    </row>
    <row r="191" spans="1:5" x14ac:dyDescent="0.4">
      <c r="A191" s="16"/>
      <c r="E191" s="16"/>
    </row>
    <row r="192" spans="1:5" x14ac:dyDescent="0.4">
      <c r="A192" s="16"/>
      <c r="E192" s="16"/>
    </row>
    <row r="193" spans="1:5" x14ac:dyDescent="0.4">
      <c r="A193" s="16"/>
      <c r="E193" s="16"/>
    </row>
    <row r="194" spans="1:5" x14ac:dyDescent="0.4">
      <c r="A194" s="16"/>
      <c r="E194" s="16"/>
    </row>
    <row r="195" spans="1:5" x14ac:dyDescent="0.4">
      <c r="A195" s="16"/>
      <c r="E195" s="16"/>
    </row>
    <row r="196" spans="1:5" x14ac:dyDescent="0.4">
      <c r="A196" s="16"/>
      <c r="E196" s="16"/>
    </row>
  </sheetData>
  <mergeCells count="4">
    <mergeCell ref="B3:D3"/>
    <mergeCell ref="F3:H3"/>
    <mergeCell ref="B2:D2"/>
    <mergeCell ref="F2:H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B4E7-0F46-4E49-9E42-9788876E21BA}">
  <sheetPr codeName="Sheet2"/>
  <dimension ref="A1:Y199"/>
  <sheetViews>
    <sheetView tabSelected="1" topLeftCell="C1" zoomScale="85" zoomScaleNormal="85" workbookViewId="0">
      <selection activeCell="M6" sqref="M6"/>
    </sheetView>
  </sheetViews>
  <sheetFormatPr defaultRowHeight="14.6" x14ac:dyDescent="0.4"/>
  <cols>
    <col min="1" max="1" width="22.3046875" bestFit="1" customWidth="1"/>
    <col min="2" max="2" width="10" bestFit="1" customWidth="1"/>
    <col min="3" max="3" width="20.53515625" customWidth="1"/>
    <col min="5" max="6" width="22.69140625" customWidth="1"/>
    <col min="7" max="7" width="22.3046875" bestFit="1" customWidth="1"/>
    <col min="8" max="8" width="50.3046875" bestFit="1" customWidth="1"/>
    <col min="10" max="10" width="27.3828125" bestFit="1" customWidth="1"/>
    <col min="12" max="12" width="1.84375" customWidth="1"/>
    <col min="13" max="13" width="10.15234375" bestFit="1" customWidth="1"/>
    <col min="14" max="14" width="86.3046875" bestFit="1" customWidth="1"/>
    <col min="17" max="17" width="22.3046875" customWidth="1"/>
    <col min="18" max="18" width="44.84375" bestFit="1" customWidth="1"/>
    <col min="19" max="19" width="10.15234375" bestFit="1" customWidth="1"/>
    <col min="20" max="20" width="10.53515625" bestFit="1" customWidth="1"/>
    <col min="21" max="21" width="3.15234375" customWidth="1"/>
    <col min="23" max="23" width="10.15234375" customWidth="1"/>
    <col min="24" max="24" width="75.84375" customWidth="1"/>
    <col min="27" max="27" width="10.15234375" bestFit="1" customWidth="1"/>
    <col min="28" max="28" width="10.3046875" bestFit="1" customWidth="1"/>
  </cols>
  <sheetData>
    <row r="1" spans="1:25" x14ac:dyDescent="0.4">
      <c r="A1" s="16"/>
      <c r="G1" s="16"/>
      <c r="Q1" s="16"/>
    </row>
    <row r="2" spans="1:25" ht="126" customHeight="1" x14ac:dyDescent="0.4">
      <c r="A2" s="17" t="s">
        <v>10</v>
      </c>
      <c r="B2" s="5" t="s">
        <v>195</v>
      </c>
      <c r="C2" s="5"/>
      <c r="D2" s="5"/>
      <c r="E2" s="5"/>
      <c r="F2" s="8"/>
      <c r="G2" s="17" t="s">
        <v>10</v>
      </c>
      <c r="H2" s="5" t="s">
        <v>15</v>
      </c>
      <c r="I2" s="5"/>
      <c r="J2" s="5"/>
      <c r="K2" s="5"/>
      <c r="L2" s="5"/>
      <c r="M2" s="5"/>
      <c r="N2" s="5"/>
      <c r="O2" s="5"/>
      <c r="P2" s="8"/>
      <c r="Q2" s="17" t="s">
        <v>10</v>
      </c>
      <c r="R2" s="5" t="s">
        <v>14</v>
      </c>
      <c r="S2" s="5"/>
      <c r="T2" s="5"/>
      <c r="U2" s="5"/>
      <c r="V2" s="5"/>
      <c r="W2" s="5"/>
      <c r="X2" s="5"/>
      <c r="Y2" s="5"/>
    </row>
    <row r="3" spans="1:25" ht="72" customHeight="1" x14ac:dyDescent="0.4">
      <c r="A3" s="17" t="s">
        <v>12</v>
      </c>
      <c r="B3" s="2"/>
      <c r="C3" s="2"/>
      <c r="D3" s="2"/>
      <c r="E3" s="2"/>
      <c r="F3" s="6"/>
      <c r="G3" s="17" t="s">
        <v>12</v>
      </c>
      <c r="H3" s="3" t="s">
        <v>70</v>
      </c>
      <c r="I3" s="3"/>
      <c r="J3" s="3"/>
      <c r="K3" s="3"/>
      <c r="L3" s="3"/>
      <c r="M3" s="3"/>
      <c r="N3" s="3"/>
      <c r="O3" s="3"/>
      <c r="P3" s="7"/>
      <c r="Q3" s="17" t="s">
        <v>12</v>
      </c>
      <c r="R3" s="3" t="s">
        <v>69</v>
      </c>
      <c r="S3" s="3"/>
      <c r="T3" s="3"/>
      <c r="U3" s="3"/>
      <c r="V3" s="3"/>
      <c r="W3" s="3"/>
      <c r="X3" s="3"/>
      <c r="Y3" s="3"/>
    </row>
    <row r="4" spans="1:25" x14ac:dyDescent="0.4">
      <c r="A4" s="16"/>
      <c r="B4" s="16"/>
      <c r="C4" s="16"/>
      <c r="D4" s="16"/>
      <c r="E4" s="16"/>
      <c r="F4" s="16"/>
      <c r="G4" s="16"/>
      <c r="H4" s="16"/>
      <c r="I4" s="16"/>
      <c r="J4" s="16"/>
      <c r="K4" s="16"/>
      <c r="L4" s="16"/>
      <c r="M4" s="16"/>
      <c r="N4" s="16"/>
      <c r="O4" s="16"/>
      <c r="P4" s="16"/>
      <c r="Q4" s="16"/>
      <c r="R4" s="16"/>
      <c r="S4" s="16"/>
      <c r="T4" s="16"/>
      <c r="U4" s="16"/>
      <c r="V4" s="16"/>
      <c r="W4" s="16"/>
      <c r="X4" s="16"/>
      <c r="Y4" s="16"/>
    </row>
    <row r="5" spans="1:25" x14ac:dyDescent="0.4">
      <c r="A5" s="16"/>
      <c r="B5" s="9" t="s">
        <v>1</v>
      </c>
      <c r="G5" s="16"/>
      <c r="M5" s="9" t="s">
        <v>66</v>
      </c>
      <c r="Q5" s="16"/>
      <c r="W5" s="9" t="s">
        <v>66</v>
      </c>
    </row>
    <row r="6" spans="1:25" ht="15" thickBot="1" x14ac:dyDescent="0.45">
      <c r="A6" s="16"/>
      <c r="B6" s="11" t="s">
        <v>0</v>
      </c>
      <c r="C6" s="11" t="s">
        <v>16</v>
      </c>
      <c r="D6" s="11" t="s">
        <v>8</v>
      </c>
      <c r="E6" s="11" t="s">
        <v>9</v>
      </c>
      <c r="G6" s="16"/>
      <c r="H6" s="4" t="s">
        <v>13</v>
      </c>
      <c r="I6" s="4"/>
      <c r="J6" s="4"/>
      <c r="K6" s="15"/>
      <c r="M6" s="11" t="s">
        <v>67</v>
      </c>
      <c r="N6" s="11" t="s">
        <v>2</v>
      </c>
      <c r="O6" s="11" t="s">
        <v>68</v>
      </c>
      <c r="Q6" s="16"/>
      <c r="R6" s="4" t="s">
        <v>13</v>
      </c>
      <c r="S6" s="4"/>
      <c r="T6" s="4"/>
      <c r="U6" s="15"/>
      <c r="W6" s="11" t="s">
        <v>67</v>
      </c>
      <c r="X6" s="11" t="s">
        <v>2</v>
      </c>
      <c r="Y6" s="11" t="s">
        <v>68</v>
      </c>
    </row>
    <row r="7" spans="1:25" x14ac:dyDescent="0.4">
      <c r="A7" s="16"/>
      <c r="B7" t="str">
        <f>IF(C7="","","PRC_GMAP")</f>
        <v>PRC_GMAP</v>
      </c>
      <c r="C7" t="str">
        <f>IF(UserInput!B6=0,"",UserInput!B6)</f>
        <v>000_Units</v>
      </c>
      <c r="D7">
        <f>IF(C7="","",1)</f>
        <v>1</v>
      </c>
      <c r="E7" t="str">
        <f>IF(UserInput!B6=0,"",UserInput!B6)</f>
        <v>000_Units</v>
      </c>
      <c r="G7" s="16"/>
      <c r="H7" s="15" t="str">
        <f>IF(UserInput!D6="","",IF(UserInput!D6=UserInput!D5,"","SET "&amp;UserInput!D6&amp;"TIMESreport '"&amp;UserInput!D6&amp;" TIMESreport'/ "))</f>
        <v xml:space="preserve">SET capacityunitTIMESreport 'capacityunit TIMESreport'/ </v>
      </c>
      <c r="I7" s="15" t="str">
        <f>IF(UserInput!B6=0,"",UserInput!B6)</f>
        <v>000_Units</v>
      </c>
      <c r="J7" s="15" t="str">
        <f>IF(UserInput!C6=0,"","'"&amp;UserInput!C6&amp;"'")</f>
        <v>'1000 units'</v>
      </c>
      <c r="K7" s="15" t="str">
        <f>IF(I7="","",IF(UserInput!D6=UserInput!D7,"","/ ;"))</f>
        <v/>
      </c>
      <c r="M7">
        <f>IF(I7="","",1)</f>
        <v>1</v>
      </c>
      <c r="N7" s="13" t="str">
        <f>_xlfn.CONCAT(H7:I7)&amp;" "&amp;_xlfn.CONCAT(J7:K7)</f>
        <v>SET capacityunitTIMESreport 'capacityunit TIMESreport'/ 000_Units '1000 units'</v>
      </c>
      <c r="O7" t="str">
        <f>IF(M7="","","IMPNRGZ")</f>
        <v>IMPNRGZ</v>
      </c>
      <c r="Q7" s="16"/>
      <c r="R7" s="15" t="str">
        <f>IF(UserInput!H6=0,"",IF(UserInput!H6=UserInput!H5,"","SET "&amp;UserInput!H6&amp;"TIMESreport '"&amp;UserInput!H6&amp;" TIMESreport'/ "))</f>
        <v xml:space="preserve">SET comgroupTIMESreport 'comgroup TIMESreport'/ </v>
      </c>
      <c r="S7" s="15" t="str">
        <f>IF(UserInput!F6=0,"",UserInput!F6)</f>
        <v>NRG_ELC</v>
      </c>
      <c r="T7" s="15" t="str">
        <f>IF(UserInput!G6=0,"","'"&amp;UserInput!G6&amp;"'")</f>
        <v>'Electricity'</v>
      </c>
      <c r="U7" s="15" t="str">
        <f>IF(S7="","",IF(UserInput!H6=UserInput!H7,"","/ ;"))</f>
        <v/>
      </c>
      <c r="W7">
        <f>IF(S7="","",MAX(M:M)+1)</f>
        <v>55</v>
      </c>
      <c r="X7" t="str">
        <f t="shared" ref="X7:X70" si="0">_xlfn.CONCAT(R7:S7)&amp;" "&amp;_xlfn.CONCAT(T7:U7)</f>
        <v>SET comgroupTIMESreport 'comgroup TIMESreport'/ NRG_ELC 'Electricity'</v>
      </c>
      <c r="Y7" t="str">
        <f>IF(W7="","","IMPNRGZ")</f>
        <v>IMPNRGZ</v>
      </c>
    </row>
    <row r="8" spans="1:25" x14ac:dyDescent="0.4">
      <c r="A8" s="16"/>
      <c r="B8" t="str">
        <f t="shared" ref="B8:B71" si="1">IF(C8="","","PRC_GMAP")</f>
        <v>PRC_GMAP</v>
      </c>
      <c r="C8" t="str">
        <f>IF(UserInput!B7=0,"",UserInput!B7)</f>
        <v>GW</v>
      </c>
      <c r="D8">
        <f t="shared" ref="D8:D71" si="2">IF(C8="","",1)</f>
        <v>1</v>
      </c>
      <c r="E8" t="str">
        <f>IF(UserInput!B7=0,"",UserInput!B7)</f>
        <v>GW</v>
      </c>
      <c r="G8" s="16"/>
      <c r="H8" s="15" t="str">
        <f>IF(UserInput!D7="","",IF(UserInput!D7=UserInput!D6,"","SET "&amp;UserInput!D7&amp;"TIMESreport '"&amp;UserInput!D7&amp;" TIMESreport'/ "))</f>
        <v/>
      </c>
      <c r="I8" s="15" t="str">
        <f>IF(UserInput!B7=0,"",UserInput!B7)</f>
        <v>GW</v>
      </c>
      <c r="J8" s="15" t="str">
        <f>IF(UserInput!C7=0,"","'"&amp;UserInput!C7&amp;"'")</f>
        <v>'GW'</v>
      </c>
      <c r="K8" s="15" t="str">
        <f>IF(I8="","",IF(UserInput!D7=UserInput!D8,"","/ ;"))</f>
        <v/>
      </c>
      <c r="M8">
        <f>IF(I8="","",1+M7)</f>
        <v>2</v>
      </c>
      <c r="N8" s="13" t="str">
        <f t="shared" ref="N8:N71" si="3">_xlfn.CONCAT(H8:I8)&amp;" "&amp;_xlfn.CONCAT(J8:K8)</f>
        <v>GW 'GW'</v>
      </c>
      <c r="O8" t="str">
        <f t="shared" ref="O8:O71" si="4">IF(M8="","","IMPNRGZ")</f>
        <v>IMPNRGZ</v>
      </c>
      <c r="Q8" s="16"/>
      <c r="R8" s="15" t="str">
        <f>IF(UserInput!H7=0,"",IF(UserInput!H7=UserInput!H6,"","SET "&amp;UserInput!H7&amp;"TIMESreport '"&amp;UserInput!H7&amp;" TIMESreport'/ "))</f>
        <v/>
      </c>
      <c r="S8" s="15" t="str">
        <f>IF(UserInput!F7=0,"",UserInput!F7)</f>
        <v>NRG_GAS</v>
      </c>
      <c r="T8" s="15" t="str">
        <f>IF(UserInput!G7=0,"","'"&amp;UserInput!G7&amp;"'")</f>
        <v>'Gas'</v>
      </c>
      <c r="U8" s="15" t="str">
        <f>IF(S8="","",IF(UserInput!H7=UserInput!H8,"","/ ;"))</f>
        <v/>
      </c>
      <c r="W8">
        <f>IF(S8="","",W7+1)</f>
        <v>56</v>
      </c>
      <c r="X8" t="str">
        <f t="shared" si="0"/>
        <v>NRG_GAS 'Gas'</v>
      </c>
      <c r="Y8" t="str">
        <f t="shared" ref="Y8:Y71" si="5">IF(W8="","","IMPNRGZ")</f>
        <v>IMPNRGZ</v>
      </c>
    </row>
    <row r="9" spans="1:25" x14ac:dyDescent="0.4">
      <c r="A9" s="16"/>
      <c r="B9" t="str">
        <f t="shared" si="1"/>
        <v>PRC_GMAP</v>
      </c>
      <c r="C9" t="str">
        <f>IF(UserInput!B8=0,"",UserInput!B8)</f>
        <v>Mta</v>
      </c>
      <c r="D9">
        <f t="shared" si="2"/>
        <v>1</v>
      </c>
      <c r="E9" t="str">
        <f>IF(UserInput!B8=0,"",UserInput!B8)</f>
        <v>Mta</v>
      </c>
      <c r="G9" s="16"/>
      <c r="H9" s="15" t="str">
        <f>IF(UserInput!D8="","",IF(UserInput!D8=UserInput!D7,"","SET "&amp;UserInput!D8&amp;"TIMESreport '"&amp;UserInput!D8&amp;" TIMESreport'/ "))</f>
        <v/>
      </c>
      <c r="I9" s="15" t="str">
        <f>IF(UserInput!B8=0,"",UserInput!B8)</f>
        <v>Mta</v>
      </c>
      <c r="J9" s="15" t="str">
        <f>IF(UserInput!C8=0,"","'"&amp;UserInput!C8&amp;"'")</f>
        <v>'Million ton a year'</v>
      </c>
      <c r="K9" s="15" t="str">
        <f>IF(I9="","",IF(UserInput!D8=UserInput!D9,"","/ ;"))</f>
        <v/>
      </c>
      <c r="M9">
        <f t="shared" ref="M9:M72" si="6">IF(I9="","",1+M8)</f>
        <v>3</v>
      </c>
      <c r="N9" s="13" t="str">
        <f t="shared" si="3"/>
        <v>Mta 'Million ton a year'</v>
      </c>
      <c r="O9" t="str">
        <f t="shared" si="4"/>
        <v>IMPNRGZ</v>
      </c>
      <c r="Q9" s="16"/>
      <c r="R9" s="15" t="str">
        <f>IF(UserInput!H8=0,"",IF(UserInput!H8=UserInput!H7,"","SET "&amp;UserInput!H8&amp;"TIMESreport '"&amp;UserInput!H8&amp;" TIMESreport'/ "))</f>
        <v/>
      </c>
      <c r="S9" s="15" t="str">
        <f>IF(UserInput!F8=0,"",UserInput!F8)</f>
        <v>NRG_NUK</v>
      </c>
      <c r="T9" s="15" t="str">
        <f>IF(UserInput!G8=0,"","'"&amp;UserInput!G8&amp;"'")</f>
        <v>'Nuclear'</v>
      </c>
      <c r="U9" s="15" t="str">
        <f>IF(S9="","",IF(UserInput!H8=UserInput!H9,"","/ ;"))</f>
        <v/>
      </c>
      <c r="W9">
        <f t="shared" ref="W9:W72" si="7">IF(S9="","",W8+1)</f>
        <v>57</v>
      </c>
      <c r="X9" t="str">
        <f t="shared" si="0"/>
        <v>NRG_NUK 'Nuclear'</v>
      </c>
      <c r="Y9" t="str">
        <f t="shared" si="5"/>
        <v>IMPNRGZ</v>
      </c>
    </row>
    <row r="10" spans="1:25" x14ac:dyDescent="0.4">
      <c r="A10" s="16"/>
      <c r="B10" t="str">
        <f t="shared" si="1"/>
        <v>PRC_GMAP</v>
      </c>
      <c r="C10" t="str">
        <f>IF(UserInput!B9=0,"",UserInput!B9)</f>
        <v>PJa</v>
      </c>
      <c r="D10">
        <f t="shared" si="2"/>
        <v>1</v>
      </c>
      <c r="E10" t="str">
        <f>IF(UserInput!B9=0,"",UserInput!B9)</f>
        <v>PJa</v>
      </c>
      <c r="G10" s="16"/>
      <c r="H10" s="15" t="str">
        <f>IF(UserInput!D9="","",IF(UserInput!D9=UserInput!D8,"","SET "&amp;UserInput!D9&amp;"TIMESreport '"&amp;UserInput!D9&amp;" TIMESreport'/ "))</f>
        <v/>
      </c>
      <c r="I10" s="15" t="str">
        <f>IF(UserInput!B9=0,"",UserInput!B9)</f>
        <v>PJa</v>
      </c>
      <c r="J10" s="15" t="str">
        <f>IF(UserInput!C9=0,"","'"&amp;UserInput!C9&amp;"'")</f>
        <v>'PJ annually'</v>
      </c>
      <c r="K10" s="15" t="str">
        <f>IF(I10="","",IF(UserInput!D9=UserInput!D10,"","/ ;"))</f>
        <v>/ ;</v>
      </c>
      <c r="M10">
        <f t="shared" si="6"/>
        <v>4</v>
      </c>
      <c r="N10" s="13" t="str">
        <f t="shared" si="3"/>
        <v>PJa 'PJ annually'/ ;</v>
      </c>
      <c r="O10" t="str">
        <f t="shared" si="4"/>
        <v>IMPNRGZ</v>
      </c>
      <c r="Q10" s="16"/>
      <c r="R10" s="15" t="str">
        <f>IF(UserInput!H9=0,"",IF(UserInput!H9=UserInput!H8,"","SET "&amp;UserInput!H9&amp;"TIMESreport '"&amp;UserInput!H9&amp;" TIMESreport'/ "))</f>
        <v/>
      </c>
      <c r="S10" s="15" t="str">
        <f>IF(UserInput!F9=0,"",UserInput!F9)</f>
        <v>NRG_OIL</v>
      </c>
      <c r="T10" s="15" t="str">
        <f>IF(UserInput!G9=0,"","'"&amp;UserInput!G9&amp;"'")</f>
        <v>'Oil'</v>
      </c>
      <c r="U10" s="15" t="str">
        <f>IF(S10="","",IF(UserInput!H9=UserInput!H10,"","/ ;"))</f>
        <v/>
      </c>
      <c r="W10">
        <f t="shared" si="7"/>
        <v>58</v>
      </c>
      <c r="X10" t="str">
        <f t="shared" si="0"/>
        <v>NRG_OIL 'Oil'</v>
      </c>
      <c r="Y10" t="str">
        <f>IF(W10="","","IMPNRGZ")</f>
        <v>IMPNRGZ</v>
      </c>
    </row>
    <row r="11" spans="1:25" x14ac:dyDescent="0.4">
      <c r="A11" s="16"/>
      <c r="B11" t="str">
        <f t="shared" si="1"/>
        <v>PRC_GMAP</v>
      </c>
      <c r="C11" t="str">
        <f>IF(UserInput!B10=0,"",UserInput!B10)</f>
        <v>SC_AGR</v>
      </c>
      <c r="D11">
        <f t="shared" si="2"/>
        <v>1</v>
      </c>
      <c r="E11" t="str">
        <f>IF(UserInput!B10=0,"",UserInput!B10)</f>
        <v>SC_AGR</v>
      </c>
      <c r="G11" s="16"/>
      <c r="H11" s="15" t="str">
        <f>IF(UserInput!D10="","",IF(UserInput!D10=UserInput!D9,"","SET "&amp;UserInput!D10&amp;"TIMESreport '"&amp;UserInput!D10&amp;" TIMESreport'/ "))</f>
        <v xml:space="preserve">SET sectorTIMESreport 'sector TIMESreport'/ </v>
      </c>
      <c r="I11" s="15" t="str">
        <f>IF(UserInput!B10=0,"",UserInput!B10)</f>
        <v>SC_AGR</v>
      </c>
      <c r="J11" s="15" t="str">
        <f>IF(UserInput!C10=0,"","'"&amp;UserInput!C10&amp;"'")</f>
        <v>'Agriculture sector'</v>
      </c>
      <c r="K11" s="15" t="str">
        <f>IF(I11="","",IF(UserInput!D10=UserInput!D11,"","/ ;"))</f>
        <v/>
      </c>
      <c r="M11">
        <f t="shared" si="6"/>
        <v>5</v>
      </c>
      <c r="N11" s="13" t="str">
        <f t="shared" si="3"/>
        <v>SET sectorTIMESreport 'sector TIMESreport'/ SC_AGR 'Agriculture sector'</v>
      </c>
      <c r="O11" t="str">
        <f t="shared" si="4"/>
        <v>IMPNRGZ</v>
      </c>
      <c r="Q11" s="16"/>
      <c r="R11" s="15" t="str">
        <f>IF(UserInput!H10=0,"",IF(UserInput!H10=UserInput!H9,"","SET "&amp;UserInput!H10&amp;"TIMESreport '"&amp;UserInput!H10&amp;" TIMESreport'/ "))</f>
        <v/>
      </c>
      <c r="S11" s="15" t="str">
        <f>IF(UserInput!F10=0,"",UserInput!F10)</f>
        <v>NRG_RNW</v>
      </c>
      <c r="T11" s="15" t="str">
        <f>IF(UserInput!G10=0,"","'"&amp;UserInput!G10&amp;"'")</f>
        <v>'Renewable'</v>
      </c>
      <c r="U11" s="15" t="str">
        <f>IF(S11="","",IF(UserInput!H10=UserInput!H11,"","/ ;"))</f>
        <v/>
      </c>
      <c r="W11">
        <f t="shared" si="7"/>
        <v>59</v>
      </c>
      <c r="X11" t="str">
        <f t="shared" si="0"/>
        <v>NRG_RNW 'Renewable'</v>
      </c>
      <c r="Y11" t="str">
        <f>IF(W11="","","IMPNRGZ")</f>
        <v>IMPNRGZ</v>
      </c>
    </row>
    <row r="12" spans="1:25" x14ac:dyDescent="0.4">
      <c r="A12" s="16"/>
      <c r="B12" t="str">
        <f t="shared" si="1"/>
        <v>PRC_GMAP</v>
      </c>
      <c r="C12" t="str">
        <f>IF(UserInput!B11=0,"",UserInput!B11)</f>
        <v>SC_COM</v>
      </c>
      <c r="D12">
        <f t="shared" si="2"/>
        <v>1</v>
      </c>
      <c r="E12" t="str">
        <f>IF(UserInput!B11=0,"",UserInput!B11)</f>
        <v>SC_COM</v>
      </c>
      <c r="G12" s="16"/>
      <c r="H12" s="15" t="str">
        <f>IF(UserInput!D11="","",IF(UserInput!D11=UserInput!D10,"","SET "&amp;UserInput!D11&amp;"TIMESreport '"&amp;UserInput!D11&amp;" TIMESreport'/ "))</f>
        <v/>
      </c>
      <c r="I12" s="15" t="str">
        <f>IF(UserInput!B11=0,"",UserInput!B11)</f>
        <v>SC_COM</v>
      </c>
      <c r="J12" s="15" t="str">
        <f>IF(UserInput!C11=0,"","'"&amp;UserInput!C11&amp;"'")</f>
        <v>'Commercial sector'</v>
      </c>
      <c r="K12" s="15" t="str">
        <f>IF(I12="","",IF(UserInput!D11=UserInput!D12,"","/ ;"))</f>
        <v/>
      </c>
      <c r="M12">
        <f t="shared" si="6"/>
        <v>6</v>
      </c>
      <c r="N12" s="13" t="str">
        <f t="shared" si="3"/>
        <v>SC_COM 'Commercial sector'</v>
      </c>
      <c r="O12" t="str">
        <f t="shared" si="4"/>
        <v>IMPNRGZ</v>
      </c>
      <c r="Q12" s="16"/>
      <c r="R12" s="15" t="str">
        <f>IF(UserInput!H11=0,"",IF(UserInput!H11=UserInput!H10,"","SET "&amp;UserInput!H11&amp;"TIMESreport '"&amp;UserInput!H11&amp;" TIMESreport'/ "))</f>
        <v/>
      </c>
      <c r="S12" s="15" t="str">
        <f>IF(UserInput!F11=0,"",UserInput!F11)</f>
        <v>NRG_COA</v>
      </c>
      <c r="T12" s="15" t="str">
        <f>IF(UserInput!G11=0,"","'"&amp;UserInput!G11&amp;"'")</f>
        <v>'Coal'</v>
      </c>
      <c r="U12" s="15" t="str">
        <f>IF(S12="","",IF(UserInput!H11=UserInput!H12,"","/ ;"))</f>
        <v/>
      </c>
      <c r="W12">
        <f t="shared" si="7"/>
        <v>60</v>
      </c>
      <c r="X12" t="str">
        <f>_xlfn.CONCAT(R12:S12)&amp;" "&amp;_xlfn.CONCAT(T12:U12)</f>
        <v>NRG_COA 'Coal'</v>
      </c>
      <c r="Y12" t="str">
        <f t="shared" si="5"/>
        <v>IMPNRGZ</v>
      </c>
    </row>
    <row r="13" spans="1:25" x14ac:dyDescent="0.4">
      <c r="A13" s="16"/>
      <c r="B13" t="str">
        <f t="shared" si="1"/>
        <v>PRC_GMAP</v>
      </c>
      <c r="C13" t="str">
        <f>IF(UserInput!B12=0,"",UserInput!B12)</f>
        <v>SC_ELE</v>
      </c>
      <c r="D13">
        <f t="shared" si="2"/>
        <v>1</v>
      </c>
      <c r="E13" t="str">
        <f>IF(UserInput!B12=0,"",UserInput!B12)</f>
        <v>SC_ELE</v>
      </c>
      <c r="G13" s="16"/>
      <c r="H13" s="15" t="str">
        <f>IF(UserInput!D12="","",IF(UserInput!D12=UserInput!D11,"","SET "&amp;UserInput!D12&amp;"TIMESreport '"&amp;UserInput!D12&amp;" TIMESreport'/ "))</f>
        <v/>
      </c>
      <c r="I13" s="15" t="str">
        <f>IF(UserInput!B12=0,"",UserInput!B12)</f>
        <v>SC_ELE</v>
      </c>
      <c r="J13" s="15" t="str">
        <f>IF(UserInput!C12=0,"","'"&amp;UserInput!C12&amp;"'")</f>
        <v>'Electricity supply sector'</v>
      </c>
      <c r="K13" s="15" t="str">
        <f>IF(I13="","",IF(UserInput!D12=UserInput!D13,"","/ ;"))</f>
        <v/>
      </c>
      <c r="M13">
        <f t="shared" si="6"/>
        <v>7</v>
      </c>
      <c r="N13" s="13" t="str">
        <f t="shared" si="3"/>
        <v>SC_ELE 'Electricity supply sector'</v>
      </c>
      <c r="O13" t="str">
        <f t="shared" si="4"/>
        <v>IMPNRGZ</v>
      </c>
      <c r="Q13" s="16"/>
      <c r="R13" s="15" t="str">
        <f>IF(UserInput!H12=0,"",IF(UserInput!H12=UserInput!H11,"","SET "&amp;UserInput!H12&amp;"TIMESreport '"&amp;UserInput!H12&amp;" TIMESreport'/ "))</f>
        <v/>
      </c>
      <c r="S13" s="15" t="str">
        <f>IF(UserInput!F12=0,"",UserInput!F12)</f>
        <v>NRG_BIO</v>
      </c>
      <c r="T13" s="15" t="str">
        <f>IF(UserInput!G12=0,"","'"&amp;UserInput!G12&amp;"'")</f>
        <v>'Biomass'</v>
      </c>
      <c r="U13" s="15" t="str">
        <f>IF(S13="","",IF(UserInput!H12=UserInput!H13,"","/ ;"))</f>
        <v/>
      </c>
      <c r="W13">
        <f t="shared" si="7"/>
        <v>61</v>
      </c>
      <c r="X13" t="str">
        <f t="shared" si="0"/>
        <v>NRG_BIO 'Biomass'</v>
      </c>
      <c r="Y13" t="str">
        <f t="shared" si="5"/>
        <v>IMPNRGZ</v>
      </c>
    </row>
    <row r="14" spans="1:25" ht="13.5" customHeight="1" x14ac:dyDescent="0.4">
      <c r="A14" s="16"/>
      <c r="B14" t="str">
        <f t="shared" si="1"/>
        <v>PRC_GMAP</v>
      </c>
      <c r="C14" t="str">
        <f>IF(UserInput!B13=0,"",UserInput!B13)</f>
        <v>SC_IND</v>
      </c>
      <c r="D14">
        <f t="shared" si="2"/>
        <v>1</v>
      </c>
      <c r="E14" t="str">
        <f>IF(UserInput!B13=0,"",UserInput!B13)</f>
        <v>SC_IND</v>
      </c>
      <c r="G14" s="16"/>
      <c r="H14" s="15" t="str">
        <f>IF(UserInput!D13="","",IF(UserInput!D13=UserInput!D12,"","SET "&amp;UserInput!D13&amp;"TIMESreport '"&amp;UserInput!D13&amp;" TIMESreport'/ "))</f>
        <v/>
      </c>
      <c r="I14" s="15" t="str">
        <f>IF(UserInput!B13=0,"",UserInput!B13)</f>
        <v>SC_IND</v>
      </c>
      <c r="J14" s="15" t="str">
        <f>IF(UserInput!C13=0,"","'"&amp;UserInput!C13&amp;"'")</f>
        <v>'Industry sector'</v>
      </c>
      <c r="K14" s="15" t="str">
        <f>IF(I14="","",IF(UserInput!D13=UserInput!D14,"","/ ;"))</f>
        <v/>
      </c>
      <c r="M14">
        <f t="shared" si="6"/>
        <v>8</v>
      </c>
      <c r="N14" s="13" t="str">
        <f t="shared" si="3"/>
        <v>SC_IND 'Industry sector'</v>
      </c>
      <c r="O14" t="str">
        <f t="shared" si="4"/>
        <v>IMPNRGZ</v>
      </c>
      <c r="Q14" s="16"/>
      <c r="R14" s="15" t="str">
        <f>IF(UserInput!H13=0,"",IF(UserInput!H13=UserInput!H12,"","SET "&amp;UserInput!H13&amp;"TIMESreport '"&amp;UserInput!H13&amp;" TIMESreport'/ "))</f>
        <v/>
      </c>
      <c r="S14" s="15" t="str">
        <f>IF(UserInput!F13=0,"",UserInput!F13)</f>
        <v>ENV_CO2</v>
      </c>
      <c r="T14" s="15" t="str">
        <f>IF(UserInput!G13=0,"","'"&amp;UserInput!G13&amp;"'")</f>
        <v>'GHG-emission'</v>
      </c>
      <c r="U14" s="15" t="str">
        <f>IF(S14="","",IF(UserInput!H13=UserInput!H14,"","/ ;"))</f>
        <v/>
      </c>
      <c r="W14">
        <f t="shared" si="7"/>
        <v>62</v>
      </c>
      <c r="X14" t="str">
        <f t="shared" si="0"/>
        <v>ENV_CO2 'GHG-emission'</v>
      </c>
      <c r="Y14" t="str">
        <f t="shared" si="5"/>
        <v>IMPNRGZ</v>
      </c>
    </row>
    <row r="15" spans="1:25" x14ac:dyDescent="0.4">
      <c r="A15" s="16"/>
      <c r="B15" t="str">
        <f t="shared" si="1"/>
        <v>PRC_GMAP</v>
      </c>
      <c r="C15" t="str">
        <f>IF(UserInput!B14=0,"",UserInput!B14)</f>
        <v>SC_MIN</v>
      </c>
      <c r="D15">
        <f t="shared" si="2"/>
        <v>1</v>
      </c>
      <c r="E15" t="str">
        <f>IF(UserInput!B14=0,"",UserInput!B14)</f>
        <v>SC_MIN</v>
      </c>
      <c r="G15" s="16"/>
      <c r="H15" s="15" t="str">
        <f>IF(UserInput!D14="","",IF(UserInput!D14=UserInput!D13,"","SET "&amp;UserInput!D14&amp;"TIMESreport '"&amp;UserInput!D14&amp;" TIMESreport'/ "))</f>
        <v/>
      </c>
      <c r="I15" s="15" t="str">
        <f>IF(UserInput!B14=0,"",UserInput!B14)</f>
        <v>SC_MIN</v>
      </c>
      <c r="J15" s="15" t="str">
        <f>IF(UserInput!C14=0,"","'"&amp;UserInput!C14&amp;"'")</f>
        <v>'Mining technologies'</v>
      </c>
      <c r="K15" s="15" t="str">
        <f>IF(I15="","",IF(UserInput!D14=UserInput!D15,"","/ ;"))</f>
        <v/>
      </c>
      <c r="M15">
        <f t="shared" si="6"/>
        <v>9</v>
      </c>
      <c r="N15" s="13" t="str">
        <f t="shared" si="3"/>
        <v>SC_MIN 'Mining technologies'</v>
      </c>
      <c r="O15" t="str">
        <f t="shared" si="4"/>
        <v>IMPNRGZ</v>
      </c>
      <c r="Q15" s="16"/>
      <c r="R15" s="15" t="str">
        <f>IF(UserInput!H14=0,"",IF(UserInput!H14=UserInput!H13,"","SET "&amp;UserInput!H14&amp;"TIMESreport '"&amp;UserInput!H14&amp;" TIMESreport'/ "))</f>
        <v/>
      </c>
      <c r="S15" s="15" t="str">
        <f>IF(UserInput!F14=0,"",UserInput!F14)</f>
        <v>DEM_COM</v>
      </c>
      <c r="T15" s="15" t="str">
        <f>IF(UserInput!G14=0,"","'"&amp;UserInput!G14&amp;"'")</f>
        <v>'Demand commodity'</v>
      </c>
      <c r="U15" s="15" t="str">
        <f>IF(S15="","",IF(UserInput!H14=UserInput!H15,"","/ ;"))</f>
        <v>/ ;</v>
      </c>
      <c r="W15">
        <f t="shared" si="7"/>
        <v>63</v>
      </c>
      <c r="X15" t="str">
        <f t="shared" si="0"/>
        <v>DEM_COM 'Demand commodity'/ ;</v>
      </c>
      <c r="Y15" t="str">
        <f t="shared" si="5"/>
        <v>IMPNRGZ</v>
      </c>
    </row>
    <row r="16" spans="1:25" x14ac:dyDescent="0.4">
      <c r="A16" s="16"/>
      <c r="B16" t="str">
        <f t="shared" si="1"/>
        <v>PRC_GMAP</v>
      </c>
      <c r="C16" t="str">
        <f>IF(UserInput!B15=0,"",UserInput!B15)</f>
        <v>SC_REF</v>
      </c>
      <c r="D16">
        <f t="shared" si="2"/>
        <v>1</v>
      </c>
      <c r="E16" t="str">
        <f>IF(UserInput!B15=0,"",UserInput!B15)</f>
        <v>SC_REF</v>
      </c>
      <c r="G16" s="16"/>
      <c r="H16" s="15" t="str">
        <f>IF(UserInput!D15="","",IF(UserInput!D15=UserInput!D14,"","SET "&amp;UserInput!D15&amp;"TIMESreport '"&amp;UserInput!D15&amp;" TIMESreport'/ "))</f>
        <v/>
      </c>
      <c r="I16" s="15" t="str">
        <f>IF(UserInput!B15=0,"",UserInput!B15)</f>
        <v>SC_REF</v>
      </c>
      <c r="J16" s="15" t="str">
        <f>IF(UserInput!C15=0,"","'"&amp;UserInput!C15&amp;"'")</f>
        <v>'Refinery '</v>
      </c>
      <c r="K16" s="15" t="str">
        <f>IF(I16="","",IF(UserInput!D15=UserInput!D16,"","/ ;"))</f>
        <v/>
      </c>
      <c r="M16">
        <f t="shared" si="6"/>
        <v>10</v>
      </c>
      <c r="N16" s="13" t="str">
        <f t="shared" si="3"/>
        <v>SC_REF 'Refinery '</v>
      </c>
      <c r="O16" t="str">
        <f t="shared" si="4"/>
        <v>IMPNRGZ</v>
      </c>
      <c r="Q16" s="16"/>
      <c r="R16" s="15" t="str">
        <f>IF(UserInput!H15=0,"",IF(UserInput!H15=UserInput!H14,"","SET "&amp;UserInput!H15&amp;"TIMESreport '"&amp;UserInput!H15&amp;" TIMESreport'/ "))</f>
        <v/>
      </c>
      <c r="S16" s="15" t="str">
        <f>IF(UserInput!F15=0,"",UserInput!F15)</f>
        <v/>
      </c>
      <c r="T16" s="15" t="str">
        <f>IF(UserInput!G15=0,"","'"&amp;UserInput!G15&amp;"'")</f>
        <v/>
      </c>
      <c r="U16" s="15" t="str">
        <f>IF(S16="","",IF(UserInput!H15=UserInput!H16,"","/ ;"))</f>
        <v/>
      </c>
      <c r="W16" t="str">
        <f t="shared" si="7"/>
        <v/>
      </c>
      <c r="X16" t="str">
        <f t="shared" si="0"/>
        <v xml:space="preserve"> </v>
      </c>
      <c r="Y16" t="str">
        <f t="shared" si="5"/>
        <v/>
      </c>
    </row>
    <row r="17" spans="1:25" x14ac:dyDescent="0.4">
      <c r="A17" s="16"/>
      <c r="B17" t="str">
        <f t="shared" si="1"/>
        <v>PRC_GMAP</v>
      </c>
      <c r="C17" t="str">
        <f>IF(UserInput!B16=0,"",UserInput!B16)</f>
        <v>SC_RES</v>
      </c>
      <c r="D17">
        <f t="shared" si="2"/>
        <v>1</v>
      </c>
      <c r="E17" t="str">
        <f>IF(UserInput!B16=0,"",UserInput!B16)</f>
        <v>SC_RES</v>
      </c>
      <c r="G17" s="16"/>
      <c r="H17" s="15" t="str">
        <f>IF(UserInput!D16="","",IF(UserInput!D16=UserInput!D15,"","SET "&amp;UserInput!D16&amp;"TIMESreport '"&amp;UserInput!D16&amp;" TIMESreport'/ "))</f>
        <v/>
      </c>
      <c r="I17" s="15" t="str">
        <f>IF(UserInput!B16=0,"",UserInput!B16)</f>
        <v>SC_RES</v>
      </c>
      <c r="J17" s="15" t="str">
        <f>IF(UserInput!C16=0,"","'"&amp;UserInput!C16&amp;"'")</f>
        <v>'Residential sector'</v>
      </c>
      <c r="K17" s="15" t="str">
        <f>IF(I17="","",IF(UserInput!D16=UserInput!D17,"","/ ;"))</f>
        <v/>
      </c>
      <c r="M17">
        <f t="shared" si="6"/>
        <v>11</v>
      </c>
      <c r="N17" s="13" t="str">
        <f t="shared" si="3"/>
        <v>SC_RES 'Residential sector'</v>
      </c>
      <c r="O17" t="str">
        <f t="shared" si="4"/>
        <v>IMPNRGZ</v>
      </c>
      <c r="Q17" s="16"/>
      <c r="R17" s="15" t="str">
        <f>IF(UserInput!H16=0,"",IF(UserInput!H16=UserInput!H15,"","SET "&amp;UserInput!H16&amp;"TIMESreport '"&amp;UserInput!H16&amp;" TIMESreport'/ "))</f>
        <v/>
      </c>
      <c r="S17" s="15" t="str">
        <f>IF(UserInput!F16=0,"",UserInput!F16)</f>
        <v/>
      </c>
      <c r="T17" s="15" t="str">
        <f>IF(UserInput!G16=0,"","'"&amp;UserInput!G16&amp;"'")</f>
        <v/>
      </c>
      <c r="U17" s="15" t="str">
        <f>IF(S17="","",IF(UserInput!H16=UserInput!H17,"","/ ;"))</f>
        <v/>
      </c>
      <c r="W17" t="str">
        <f t="shared" si="7"/>
        <v/>
      </c>
      <c r="X17" t="str">
        <f t="shared" si="0"/>
        <v xml:space="preserve"> </v>
      </c>
      <c r="Y17" t="str">
        <f t="shared" si="5"/>
        <v/>
      </c>
    </row>
    <row r="18" spans="1:25" x14ac:dyDescent="0.4">
      <c r="A18" s="16"/>
      <c r="B18" t="str">
        <f t="shared" si="1"/>
        <v>PRC_GMAP</v>
      </c>
      <c r="C18" t="str">
        <f>IF(UserInput!B17=0,"",UserInput!B17)</f>
        <v>SC_TRA</v>
      </c>
      <c r="D18">
        <f t="shared" si="2"/>
        <v>1</v>
      </c>
      <c r="E18" t="str">
        <f>IF(UserInput!B17=0,"",UserInput!B17)</f>
        <v>SC_TRA</v>
      </c>
      <c r="G18" s="16"/>
      <c r="H18" s="15" t="str">
        <f>IF(UserInput!D17="","",IF(UserInput!D17=UserInput!D16,"","SET "&amp;UserInput!D17&amp;"TIMESreport '"&amp;UserInput!D17&amp;" TIMESreport'/ "))</f>
        <v/>
      </c>
      <c r="I18" s="15" t="str">
        <f>IF(UserInput!B17=0,"",UserInput!B17)</f>
        <v>SC_TRA</v>
      </c>
      <c r="J18" s="15" t="str">
        <f>IF(UserInput!C17=0,"","'"&amp;UserInput!C17&amp;"'")</f>
        <v>'Transport sector'</v>
      </c>
      <c r="K18" s="15" t="str">
        <f>IF(I18="","",IF(UserInput!D17=UserInput!D18,"","/ ;"))</f>
        <v/>
      </c>
      <c r="M18">
        <f t="shared" si="6"/>
        <v>12</v>
      </c>
      <c r="N18" s="13" t="str">
        <f t="shared" si="3"/>
        <v>SC_TRA 'Transport sector'</v>
      </c>
      <c r="O18" t="str">
        <f t="shared" si="4"/>
        <v>IMPNRGZ</v>
      </c>
      <c r="Q18" s="16"/>
      <c r="R18" s="15" t="str">
        <f>IF(UserInput!H17=0,"",IF(UserInput!H17=UserInput!H16,"","SET "&amp;UserInput!H17&amp;"TIMESreport '"&amp;UserInput!H17&amp;" TIMESreport'/ "))</f>
        <v/>
      </c>
      <c r="S18" s="15" t="str">
        <f>IF(UserInput!F17=0,"",UserInput!F17)</f>
        <v/>
      </c>
      <c r="T18" s="15" t="str">
        <f>IF(UserInput!G17=0,"","'"&amp;UserInput!G17&amp;"'")</f>
        <v/>
      </c>
      <c r="U18" s="15" t="str">
        <f>IF(S18="","",IF(UserInput!H17=UserInput!H18,"","/ ;"))</f>
        <v/>
      </c>
      <c r="W18" t="str">
        <f t="shared" si="7"/>
        <v/>
      </c>
      <c r="X18" t="str">
        <f t="shared" si="0"/>
        <v xml:space="preserve"> </v>
      </c>
      <c r="Y18" t="str">
        <f t="shared" si="5"/>
        <v/>
      </c>
    </row>
    <row r="19" spans="1:25" x14ac:dyDescent="0.4">
      <c r="A19" s="16"/>
      <c r="B19" t="str">
        <f t="shared" si="1"/>
        <v>PRC_GMAP</v>
      </c>
      <c r="C19" t="str">
        <f>IF(UserInput!B18=0,"",UserInput!B18)</f>
        <v>SC_TRD</v>
      </c>
      <c r="D19">
        <f t="shared" si="2"/>
        <v>1</v>
      </c>
      <c r="E19" t="str">
        <f>IF(UserInput!B18=0,"",UserInput!B18)</f>
        <v>SC_TRD</v>
      </c>
      <c r="G19" s="16"/>
      <c r="H19" s="15" t="str">
        <f>IF(UserInput!D18="","",IF(UserInput!D18=UserInput!D17,"","SET "&amp;UserInput!D18&amp;"TIMESreport '"&amp;UserInput!D18&amp;" TIMESreport'/ "))</f>
        <v/>
      </c>
      <c r="I19" s="15" t="str">
        <f>IF(UserInput!B18=0,"",UserInput!B18)</f>
        <v>SC_TRD</v>
      </c>
      <c r="J19" s="15" t="str">
        <f>IF(UserInput!C18=0,"","'"&amp;UserInput!C18&amp;"'")</f>
        <v>'Trade technologies'</v>
      </c>
      <c r="K19" s="15" t="str">
        <f>IF(I19="","",IF(UserInput!D18=UserInput!D19,"","/ ;"))</f>
        <v/>
      </c>
      <c r="M19">
        <f t="shared" si="6"/>
        <v>13</v>
      </c>
      <c r="N19" s="13" t="str">
        <f t="shared" si="3"/>
        <v>SC_TRD 'Trade technologies'</v>
      </c>
      <c r="O19" t="str">
        <f t="shared" si="4"/>
        <v>IMPNRGZ</v>
      </c>
      <c r="Q19" s="16"/>
      <c r="R19" s="15" t="str">
        <f>IF(UserInput!H18=0,"",IF(UserInput!H18=UserInput!H17,"","SET "&amp;UserInput!H18&amp;"TIMESreport '"&amp;UserInput!H18&amp;" TIMESreport'/ "))</f>
        <v/>
      </c>
      <c r="S19" s="15" t="str">
        <f>IF(UserInput!F18=0,"",UserInput!F18)</f>
        <v/>
      </c>
      <c r="T19" s="15" t="str">
        <f>IF(UserInput!G18=0,"","'"&amp;UserInput!G18&amp;"'")</f>
        <v/>
      </c>
      <c r="U19" s="15" t="str">
        <f>IF(S19="","",IF(UserInput!H18=UserInput!H19,"","/ ;"))</f>
        <v/>
      </c>
      <c r="W19" t="str">
        <f t="shared" si="7"/>
        <v/>
      </c>
      <c r="X19" t="str">
        <f t="shared" si="0"/>
        <v xml:space="preserve"> </v>
      </c>
      <c r="Y19" t="str">
        <f t="shared" si="5"/>
        <v/>
      </c>
    </row>
    <row r="20" spans="1:25" x14ac:dyDescent="0.4">
      <c r="A20" s="16"/>
      <c r="B20" t="str">
        <f t="shared" si="1"/>
        <v>PRC_GMAP</v>
      </c>
      <c r="C20" t="str">
        <f>IF(UserInput!B19=0,"",UserInput!B19)</f>
        <v>SC_TRM</v>
      </c>
      <c r="D20">
        <f t="shared" si="2"/>
        <v>1</v>
      </c>
      <c r="E20" t="str">
        <f>IF(UserInput!B19=0,"",UserInput!B19)</f>
        <v>SC_TRM</v>
      </c>
      <c r="G20" s="16"/>
      <c r="H20" s="15" t="str">
        <f>IF(UserInput!D19="","",IF(UserInput!D19=UserInput!D18,"","SET "&amp;UserInput!D19&amp;"TIMESreport '"&amp;UserInput!D19&amp;" TIMESreport'/ "))</f>
        <v/>
      </c>
      <c r="I20" s="15" t="str">
        <f>IF(UserInput!B19=0,"",UserInput!B19)</f>
        <v>SC_TRM</v>
      </c>
      <c r="J20" s="15" t="str">
        <f>IF(UserInput!C19=0,"","'"&amp;UserInput!C19&amp;"'")</f>
        <v>'Transmission of electricity and gas'</v>
      </c>
      <c r="K20" s="15" t="str">
        <f>IF(I20="","",IF(UserInput!D19=UserInput!D20,"","/ ;"))</f>
        <v>/ ;</v>
      </c>
      <c r="M20">
        <f t="shared" si="6"/>
        <v>14</v>
      </c>
      <c r="N20" s="13" t="str">
        <f t="shared" si="3"/>
        <v>SC_TRM 'Transmission of electricity and gas'/ ;</v>
      </c>
      <c r="O20" t="str">
        <f t="shared" si="4"/>
        <v>IMPNRGZ</v>
      </c>
      <c r="Q20" s="16"/>
      <c r="R20" s="15" t="str">
        <f>IF(UserInput!H19=0,"",IF(UserInput!H19=UserInput!H18,"","SET "&amp;UserInput!H19&amp;"TIMESreport '"&amp;UserInput!H19&amp;" TIMESreport'/ "))</f>
        <v/>
      </c>
      <c r="S20" s="15" t="str">
        <f>IF(UserInput!F19=0,"",UserInput!F19)</f>
        <v/>
      </c>
      <c r="T20" s="15" t="str">
        <f>IF(UserInput!G19=0,"","'"&amp;UserInput!G19&amp;"'")</f>
        <v/>
      </c>
      <c r="U20" s="15" t="str">
        <f>IF(S20="","",IF(UserInput!H19=UserInput!H20,"","/ ;"))</f>
        <v/>
      </c>
      <c r="W20" t="str">
        <f t="shared" si="7"/>
        <v/>
      </c>
      <c r="X20" t="str">
        <f t="shared" si="0"/>
        <v xml:space="preserve"> </v>
      </c>
      <c r="Y20" t="str">
        <f t="shared" si="5"/>
        <v/>
      </c>
    </row>
    <row r="21" spans="1:25" x14ac:dyDescent="0.4">
      <c r="A21" s="16"/>
      <c r="B21" t="str">
        <f t="shared" si="1"/>
        <v>PRC_GMAP</v>
      </c>
      <c r="C21" t="str">
        <f>IF(UserInput!B20=0,"",UserInput!B20)</f>
        <v>SR_AGR</v>
      </c>
      <c r="D21">
        <f t="shared" si="2"/>
        <v>1</v>
      </c>
      <c r="E21" t="str">
        <f>IF(UserInput!B20=0,"",UserInput!B20)</f>
        <v>SR_AGR</v>
      </c>
      <c r="G21" s="16"/>
      <c r="H21" s="15" t="str">
        <f>IF(UserInput!D20="","",IF(UserInput!D20=UserInput!D19,"","SET "&amp;UserInput!D20&amp;"TIMESreport '"&amp;UserInput!D20&amp;" TIMESreport'/ "))</f>
        <v xml:space="preserve">SET serviceTIMESreport 'service TIMESreport'/ </v>
      </c>
      <c r="I21" s="15" t="str">
        <f>IF(UserInput!B20=0,"",UserInput!B20)</f>
        <v>SR_AGR</v>
      </c>
      <c r="J21" s="15" t="str">
        <f>IF(UserInput!C20=0,"","'"&amp;UserInput!C20&amp;"'")</f>
        <v>'Agricultural demand'</v>
      </c>
      <c r="K21" s="15" t="str">
        <f>IF(I21="","",IF(UserInput!D20=UserInput!D21,"","/ ;"))</f>
        <v/>
      </c>
      <c r="M21">
        <f t="shared" si="6"/>
        <v>15</v>
      </c>
      <c r="N21" s="13" t="str">
        <f t="shared" si="3"/>
        <v>SET serviceTIMESreport 'service TIMESreport'/ SR_AGR 'Agricultural demand'</v>
      </c>
      <c r="O21" t="str">
        <f t="shared" si="4"/>
        <v>IMPNRGZ</v>
      </c>
      <c r="Q21" s="16"/>
      <c r="R21" s="15" t="str">
        <f>IF(UserInput!H20=0,"",IF(UserInput!H20=UserInput!H19,"","SET "&amp;UserInput!H20&amp;"TIMESreport '"&amp;UserInput!H20&amp;" TIMESreport'/ "))</f>
        <v/>
      </c>
      <c r="S21" s="15" t="str">
        <f>IF(UserInput!F20=0,"",UserInput!F20)</f>
        <v/>
      </c>
      <c r="T21" s="15" t="str">
        <f>IF(UserInput!G20=0,"","'"&amp;UserInput!G20&amp;"'")</f>
        <v/>
      </c>
      <c r="U21" s="15" t="str">
        <f>IF(S21="","",IF(UserInput!H20=UserInput!H21,"","/ ;"))</f>
        <v/>
      </c>
      <c r="W21" t="str">
        <f t="shared" si="7"/>
        <v/>
      </c>
      <c r="X21" t="str">
        <f t="shared" si="0"/>
        <v xml:space="preserve"> </v>
      </c>
      <c r="Y21" t="str">
        <f t="shared" si="5"/>
        <v/>
      </c>
    </row>
    <row r="22" spans="1:25" x14ac:dyDescent="0.4">
      <c r="A22" s="16"/>
      <c r="B22" t="str">
        <f t="shared" si="1"/>
        <v>PRC_GMAP</v>
      </c>
      <c r="C22" t="str">
        <f>IF(UserInput!B21=0,"",UserInput!B21)</f>
        <v>SR_APP</v>
      </c>
      <c r="D22">
        <f t="shared" si="2"/>
        <v>1</v>
      </c>
      <c r="E22" t="str">
        <f>IF(UserInput!B21=0,"",UserInput!B21)</f>
        <v>SR_APP</v>
      </c>
      <c r="G22" s="16"/>
      <c r="H22" s="15" t="str">
        <f>IF(UserInput!D21="","",IF(UserInput!D21=UserInput!D20,"","SET "&amp;UserInput!D21&amp;"TIMESreport '"&amp;UserInput!D21&amp;" TIMESreport'/ "))</f>
        <v/>
      </c>
      <c r="I22" s="15" t="str">
        <f>IF(UserInput!B21=0,"",UserInput!B21)</f>
        <v>SR_APP</v>
      </c>
      <c r="J22" s="15" t="str">
        <f>IF(UserInput!C21=0,"","'"&amp;UserInput!C21&amp;"'")</f>
        <v>'Appliances'</v>
      </c>
      <c r="K22" s="15" t="str">
        <f>IF(I22="","",IF(UserInput!D21=UserInput!D22,"","/ ;"))</f>
        <v/>
      </c>
      <c r="M22">
        <f t="shared" si="6"/>
        <v>16</v>
      </c>
      <c r="N22" s="13" t="str">
        <f t="shared" si="3"/>
        <v>SR_APP 'Appliances'</v>
      </c>
      <c r="O22" t="str">
        <f t="shared" si="4"/>
        <v>IMPNRGZ</v>
      </c>
      <c r="Q22" s="16"/>
      <c r="R22" s="15" t="str">
        <f>IF(UserInput!H21=0,"",IF(UserInput!H21=UserInput!H20,"","SET "&amp;UserInput!H21&amp;"TIMESreport '"&amp;UserInput!H21&amp;" TIMESreport'/ "))</f>
        <v/>
      </c>
      <c r="S22" s="15" t="str">
        <f>IF(UserInput!F21=0,"",UserInput!F21)</f>
        <v/>
      </c>
      <c r="T22" s="15" t="str">
        <f>IF(UserInput!G21=0,"","'"&amp;UserInput!G21&amp;"'")</f>
        <v/>
      </c>
      <c r="U22" s="15" t="str">
        <f>IF(S22="","",IF(UserInput!H21=UserInput!H22,"","/ ;"))</f>
        <v/>
      </c>
      <c r="W22" t="str">
        <f t="shared" si="7"/>
        <v/>
      </c>
      <c r="X22" t="str">
        <f t="shared" si="0"/>
        <v xml:space="preserve"> </v>
      </c>
      <c r="Y22" t="str">
        <f t="shared" si="5"/>
        <v/>
      </c>
    </row>
    <row r="23" spans="1:25" x14ac:dyDescent="0.4">
      <c r="A23" s="16"/>
      <c r="B23" t="str">
        <f t="shared" si="1"/>
        <v>PRC_GMAP</v>
      </c>
      <c r="C23" t="str">
        <f>IF(UserInput!B22=0,"",UserInput!B22)</f>
        <v>SR_IRS</v>
      </c>
      <c r="D23">
        <f t="shared" si="2"/>
        <v>1</v>
      </c>
      <c r="E23" t="str">
        <f>IF(UserInput!B22=0,"",UserInput!B22)</f>
        <v>SR_IRS</v>
      </c>
      <c r="G23" s="16"/>
      <c r="H23" s="15" t="str">
        <f>IF(UserInput!D22="","",IF(UserInput!D22=UserInput!D21,"","SET "&amp;UserInput!D22&amp;"TIMESreport '"&amp;UserInput!D22&amp;" TIMESreport'/ "))</f>
        <v/>
      </c>
      <c r="I23" s="15" t="str">
        <f>IF(UserInput!B22=0,"",UserInput!B22)</f>
        <v>SR_IRS</v>
      </c>
      <c r="J23" s="15" t="str">
        <f>IF(UserInput!C22=0,"","'"&amp;UserInput!C22&amp;"'")</f>
        <v>'Industrial IronSteel Demand'</v>
      </c>
      <c r="K23" s="15" t="str">
        <f>IF(I23="","",IF(UserInput!D22=UserInput!D23,"","/ ;"))</f>
        <v/>
      </c>
      <c r="M23">
        <f t="shared" si="6"/>
        <v>17</v>
      </c>
      <c r="N23" s="13" t="str">
        <f t="shared" si="3"/>
        <v>SR_IRS 'Industrial IronSteel Demand'</v>
      </c>
      <c r="O23" t="str">
        <f t="shared" si="4"/>
        <v>IMPNRGZ</v>
      </c>
      <c r="Q23" s="16"/>
      <c r="R23" s="15" t="str">
        <f>IF(UserInput!H22=0,"",IF(UserInput!H22=UserInput!H21,"","SET "&amp;UserInput!H22&amp;"TIMESreport '"&amp;UserInput!H22&amp;" TIMESreport'/ "))</f>
        <v/>
      </c>
      <c r="S23" s="15" t="str">
        <f>IF(UserInput!F22=0,"",UserInput!F22)</f>
        <v/>
      </c>
      <c r="T23" s="15" t="str">
        <f>IF(UserInput!G22=0,"","'"&amp;UserInput!G22&amp;"'")</f>
        <v/>
      </c>
      <c r="U23" s="15" t="str">
        <f>IF(S23="","",IF(UserInput!H22=UserInput!H23,"","/ ;"))</f>
        <v/>
      </c>
      <c r="W23" t="str">
        <f t="shared" si="7"/>
        <v/>
      </c>
      <c r="X23" t="str">
        <f t="shared" si="0"/>
        <v xml:space="preserve"> </v>
      </c>
      <c r="Y23" t="str">
        <f t="shared" si="5"/>
        <v/>
      </c>
    </row>
    <row r="24" spans="1:25" x14ac:dyDescent="0.4">
      <c r="A24" s="16"/>
      <c r="B24" t="str">
        <f t="shared" si="1"/>
        <v>PRC_GMAP</v>
      </c>
      <c r="C24" t="str">
        <f>IF(UserInput!B23=0,"",UserInput!B23)</f>
        <v>SR_IND</v>
      </c>
      <c r="D24">
        <f t="shared" si="2"/>
        <v>1</v>
      </c>
      <c r="E24" t="str">
        <f>IF(UserInput!B23=0,"",UserInput!B23)</f>
        <v>SR_IND</v>
      </c>
      <c r="G24" s="16"/>
      <c r="H24" s="15" t="str">
        <f>IF(UserInput!D23="","",IF(UserInput!D23=UserInput!D22,"","SET "&amp;UserInput!D23&amp;"TIMESreport '"&amp;UserInput!D23&amp;" TIMESreport'/ "))</f>
        <v/>
      </c>
      <c r="I24" s="15" t="str">
        <f>IF(UserInput!B23=0,"",UserInput!B23)</f>
        <v>SR_IND</v>
      </c>
      <c r="J24" s="15" t="str">
        <f>IF(UserInput!C23=0,"","'"&amp;UserInput!C23&amp;"'")</f>
        <v>'Industry Demand'</v>
      </c>
      <c r="K24" s="15" t="str">
        <f>IF(I24="","",IF(UserInput!D23=UserInput!D24,"","/ ;"))</f>
        <v/>
      </c>
      <c r="M24">
        <f t="shared" si="6"/>
        <v>18</v>
      </c>
      <c r="N24" s="13" t="str">
        <f t="shared" si="3"/>
        <v>SR_IND 'Industry Demand'</v>
      </c>
      <c r="O24" t="str">
        <f t="shared" si="4"/>
        <v>IMPNRGZ</v>
      </c>
      <c r="Q24" s="16"/>
      <c r="R24" s="15" t="str">
        <f>IF(UserInput!H23=0,"",IF(UserInput!H23=UserInput!H22,"","SET "&amp;UserInput!H23&amp;"TIMESreport '"&amp;UserInput!H23&amp;" TIMESreport'/ "))</f>
        <v/>
      </c>
      <c r="S24" s="15" t="str">
        <f>IF(UserInput!F23=0,"",UserInput!F23)</f>
        <v/>
      </c>
      <c r="T24" s="15" t="str">
        <f>IF(UserInput!G23=0,"","'"&amp;UserInput!G23&amp;"'")</f>
        <v/>
      </c>
      <c r="U24" s="15" t="str">
        <f>IF(S24="","",IF(UserInput!H23=UserInput!H24,"","/ ;"))</f>
        <v/>
      </c>
      <c r="W24" t="str">
        <f t="shared" si="7"/>
        <v/>
      </c>
      <c r="X24" t="str">
        <f t="shared" si="0"/>
        <v xml:space="preserve"> </v>
      </c>
      <c r="Y24" t="str">
        <f t="shared" si="5"/>
        <v/>
      </c>
    </row>
    <row r="25" spans="1:25" x14ac:dyDescent="0.4">
      <c r="A25" s="16"/>
      <c r="B25" t="str">
        <f t="shared" si="1"/>
        <v>PRC_GMAP</v>
      </c>
      <c r="C25" t="str">
        <f>IF(UserInput!B24=0,"",UserInput!B24)</f>
        <v>SR_OTH</v>
      </c>
      <c r="D25">
        <f t="shared" si="2"/>
        <v>1</v>
      </c>
      <c r="E25" t="str">
        <f>IF(UserInput!B24=0,"",UserInput!B24)</f>
        <v>SR_OTH</v>
      </c>
      <c r="G25" s="16"/>
      <c r="H25" s="15" t="str">
        <f>IF(UserInput!D24="","",IF(UserInput!D24=UserInput!D23,"","SET "&amp;UserInput!D24&amp;"TIMESreport '"&amp;UserInput!D24&amp;" TIMESreport'/ "))</f>
        <v/>
      </c>
      <c r="I25" s="15" t="str">
        <f>IF(UserInput!B24=0,"",UserInput!B24)</f>
        <v>SR_OTH</v>
      </c>
      <c r="J25" s="15" t="str">
        <f>IF(UserInput!C24=0,"","'"&amp;UserInput!C24&amp;"'")</f>
        <v>'Other demands'</v>
      </c>
      <c r="K25" s="15" t="str">
        <f>IF(I25="","",IF(UserInput!D24=UserInput!D25,"","/ ;"))</f>
        <v/>
      </c>
      <c r="M25">
        <f t="shared" si="6"/>
        <v>19</v>
      </c>
      <c r="N25" s="13" t="str">
        <f t="shared" si="3"/>
        <v>SR_OTH 'Other demands'</v>
      </c>
      <c r="O25" t="str">
        <f t="shared" si="4"/>
        <v>IMPNRGZ</v>
      </c>
      <c r="Q25" s="16"/>
      <c r="R25" s="15" t="str">
        <f>IF(UserInput!H24=0,"",IF(UserInput!H24=UserInput!H23,"","SET "&amp;UserInput!H24&amp;"TIMESreport '"&amp;UserInput!H24&amp;" TIMESreport'/ "))</f>
        <v/>
      </c>
      <c r="S25" s="15" t="str">
        <f>IF(UserInput!F24=0,"",UserInput!F24)</f>
        <v/>
      </c>
      <c r="T25" s="15" t="str">
        <f>IF(UserInput!G24=0,"","'"&amp;UserInput!G24&amp;"'")</f>
        <v/>
      </c>
      <c r="U25" s="15" t="str">
        <f>IF(S25="","",IF(UserInput!H24=UserInput!H25,"","/ ;"))</f>
        <v/>
      </c>
      <c r="W25" t="str">
        <f t="shared" si="7"/>
        <v/>
      </c>
      <c r="X25" t="str">
        <f t="shared" si="0"/>
        <v xml:space="preserve"> </v>
      </c>
      <c r="Y25" t="str">
        <f t="shared" si="5"/>
        <v/>
      </c>
    </row>
    <row r="26" spans="1:25" x14ac:dyDescent="0.4">
      <c r="A26" s="16"/>
      <c r="B26" t="str">
        <f t="shared" si="1"/>
        <v>PRC_GMAP</v>
      </c>
      <c r="C26" t="str">
        <f>IF(UserInput!B25=0,"",UserInput!B25)</f>
        <v>SR_RHT</v>
      </c>
      <c r="D26">
        <f t="shared" si="2"/>
        <v>1</v>
      </c>
      <c r="E26" t="str">
        <f>IF(UserInput!B25=0,"",UserInput!B25)</f>
        <v>SR_RHT</v>
      </c>
      <c r="G26" s="16"/>
      <c r="H26" s="15" t="str">
        <f>IF(UserInput!D25="","",IF(UserInput!D25=UserInput!D24,"","SET "&amp;UserInput!D25&amp;"TIMESreport '"&amp;UserInput!D25&amp;" TIMESreport'/ "))</f>
        <v/>
      </c>
      <c r="I26" s="15" t="str">
        <f>IF(UserInput!B25=0,"",UserInput!B25)</f>
        <v>SR_RHT</v>
      </c>
      <c r="J26" s="15" t="str">
        <f>IF(UserInput!C25=0,"","'"&amp;UserInput!C25&amp;"'")</f>
        <v>'Room heat'</v>
      </c>
      <c r="K26" s="15" t="str">
        <f>IF(I26="","",IF(UserInput!D25=UserInput!D26,"","/ ;"))</f>
        <v/>
      </c>
      <c r="M26">
        <f t="shared" si="6"/>
        <v>20</v>
      </c>
      <c r="N26" s="13" t="str">
        <f t="shared" si="3"/>
        <v>SR_RHT 'Room heat'</v>
      </c>
      <c r="O26" t="str">
        <f t="shared" si="4"/>
        <v>IMPNRGZ</v>
      </c>
      <c r="Q26" s="16"/>
      <c r="R26" s="15" t="str">
        <f>IF(UserInput!H25=0,"",IF(UserInput!H25=UserInput!H24,"","SET "&amp;UserInput!H25&amp;"TIMESreport '"&amp;UserInput!H25&amp;" TIMESreport'/ "))</f>
        <v/>
      </c>
      <c r="S26" s="15" t="str">
        <f>IF(UserInput!F25=0,"",UserInput!F25)</f>
        <v/>
      </c>
      <c r="T26" s="15" t="str">
        <f>IF(UserInput!G25=0,"","'"&amp;UserInput!G25&amp;"'")</f>
        <v/>
      </c>
      <c r="U26" s="15" t="str">
        <f>IF(S26="","",IF(UserInput!H25=UserInput!H26,"","/ ;"))</f>
        <v/>
      </c>
      <c r="W26" t="str">
        <f t="shared" si="7"/>
        <v/>
      </c>
      <c r="X26" t="str">
        <f t="shared" si="0"/>
        <v xml:space="preserve"> </v>
      </c>
      <c r="Y26" t="str">
        <f t="shared" si="5"/>
        <v/>
      </c>
    </row>
    <row r="27" spans="1:25" x14ac:dyDescent="0.4">
      <c r="A27" s="16"/>
      <c r="B27" t="str">
        <f t="shared" si="1"/>
        <v>PRC_GMAP</v>
      </c>
      <c r="C27" t="str">
        <f>IF(UserInput!B26=0,"",UserInput!B26)</f>
        <v>SR_TRC</v>
      </c>
      <c r="D27">
        <f t="shared" si="2"/>
        <v>1</v>
      </c>
      <c r="E27" t="str">
        <f>IF(UserInput!B26=0,"",UserInput!B26)</f>
        <v>SR_TRC</v>
      </c>
      <c r="G27" s="16"/>
      <c r="H27" s="15" t="str">
        <f>IF(UserInput!D26="","",IF(UserInput!D26=UserInput!D25,"","SET "&amp;UserInput!D26&amp;"TIMESreport '"&amp;UserInput!D26&amp;" TIMESreport'/ "))</f>
        <v/>
      </c>
      <c r="I27" s="15" t="str">
        <f>IF(UserInput!B26=0,"",UserInput!B26)</f>
        <v>SR_TRC</v>
      </c>
      <c r="J27" s="15" t="str">
        <f>IF(UserInput!C26=0,"","'"&amp;UserInput!C26&amp;"'")</f>
        <v>'Cars'</v>
      </c>
      <c r="K27" s="15" t="str">
        <f>IF(I27="","",IF(UserInput!D26=UserInput!D27,"","/ ;"))</f>
        <v/>
      </c>
      <c r="M27">
        <f t="shared" si="6"/>
        <v>21</v>
      </c>
      <c r="N27" s="13" t="str">
        <f t="shared" si="3"/>
        <v>SR_TRC 'Cars'</v>
      </c>
      <c r="O27" t="str">
        <f t="shared" si="4"/>
        <v>IMPNRGZ</v>
      </c>
      <c r="Q27" s="16"/>
      <c r="R27" s="15" t="str">
        <f>IF(UserInput!H26=0,"",IF(UserInput!H26=UserInput!H25,"","SET "&amp;UserInput!H26&amp;"TIMESreport '"&amp;UserInput!H26&amp;" TIMESreport'/ "))</f>
        <v/>
      </c>
      <c r="S27" s="15" t="str">
        <f>IF(UserInput!F26=0,"",UserInput!F26)</f>
        <v/>
      </c>
      <c r="T27" s="15" t="str">
        <f>IF(UserInput!G26=0,"","'"&amp;UserInput!G26&amp;"'")</f>
        <v/>
      </c>
      <c r="U27" s="15" t="str">
        <f>IF(S27="","",IF(UserInput!H26=UserInput!H27,"","/ ;"))</f>
        <v/>
      </c>
      <c r="W27" t="str">
        <f t="shared" si="7"/>
        <v/>
      </c>
      <c r="X27" t="str">
        <f t="shared" si="0"/>
        <v xml:space="preserve"> </v>
      </c>
      <c r="Y27" t="str">
        <f t="shared" si="5"/>
        <v/>
      </c>
    </row>
    <row r="28" spans="1:25" x14ac:dyDescent="0.4">
      <c r="A28" s="16"/>
      <c r="B28" t="str">
        <f t="shared" si="1"/>
        <v>PRC_GMAP</v>
      </c>
      <c r="C28" t="str">
        <f>IF(UserInput!B27=0,"",UserInput!B27)</f>
        <v>SR_TRP</v>
      </c>
      <c r="D28">
        <f t="shared" si="2"/>
        <v>1</v>
      </c>
      <c r="E28" t="str">
        <f>IF(UserInput!B27=0,"",UserInput!B27)</f>
        <v>SR_TRP</v>
      </c>
      <c r="G28" s="16"/>
      <c r="H28" s="15" t="str">
        <f>IF(UserInput!D27="","",IF(UserInput!D27=UserInput!D26,"","SET "&amp;UserInput!D27&amp;"TIMESreport '"&amp;UserInput!D27&amp;" TIMESreport'/ "))</f>
        <v/>
      </c>
      <c r="I28" s="15" t="str">
        <f>IF(UserInput!B27=0,"",UserInput!B27)</f>
        <v>SR_TRP</v>
      </c>
      <c r="J28" s="15" t="str">
        <f>IF(UserInput!C27=0,"","'"&amp;UserInput!C27&amp;"'")</f>
        <v>'Public transport'</v>
      </c>
      <c r="K28" s="15" t="str">
        <f>IF(I28="","",IF(UserInput!D27=UserInput!D28,"","/ ;"))</f>
        <v>/ ;</v>
      </c>
      <c r="M28">
        <f t="shared" si="6"/>
        <v>22</v>
      </c>
      <c r="N28" s="13" t="str">
        <f t="shared" si="3"/>
        <v>SR_TRP 'Public transport'/ ;</v>
      </c>
      <c r="O28" t="str">
        <f t="shared" si="4"/>
        <v>IMPNRGZ</v>
      </c>
      <c r="Q28" s="16"/>
      <c r="R28" s="15" t="str">
        <f>IF(UserInput!H27=0,"",IF(UserInput!H27=UserInput!H26,"","SET "&amp;UserInput!H27&amp;"TIMESreport '"&amp;UserInput!H27&amp;" TIMESreport'/ "))</f>
        <v/>
      </c>
      <c r="S28" s="15" t="str">
        <f>IF(UserInput!F27=0,"",UserInput!F27)</f>
        <v/>
      </c>
      <c r="T28" s="15" t="str">
        <f>IF(UserInput!G27=0,"","'"&amp;UserInput!G27&amp;"'")</f>
        <v/>
      </c>
      <c r="U28" s="15" t="str">
        <f>IF(S28="","",IF(UserInput!H27=UserInput!H28,"","/ ;"))</f>
        <v/>
      </c>
      <c r="W28" t="str">
        <f t="shared" si="7"/>
        <v/>
      </c>
      <c r="X28" t="str">
        <f t="shared" si="0"/>
        <v xml:space="preserve"> </v>
      </c>
      <c r="Y28" t="str">
        <f t="shared" si="5"/>
        <v/>
      </c>
    </row>
    <row r="29" spans="1:25" x14ac:dyDescent="0.4">
      <c r="A29" s="16"/>
      <c r="B29" t="str">
        <f t="shared" si="1"/>
        <v>PRC_GMAP</v>
      </c>
      <c r="C29" t="str">
        <f>IF(UserInput!B28=0,"",UserInput!B28)</f>
        <v>SS_AGR</v>
      </c>
      <c r="D29">
        <f t="shared" si="2"/>
        <v>1</v>
      </c>
      <c r="E29" t="str">
        <f>IF(UserInput!B28=0,"",UserInput!B28)</f>
        <v>SS_AGR</v>
      </c>
      <c r="G29" s="16"/>
      <c r="H29" s="15" t="str">
        <f>IF(UserInput!D28="","",IF(UserInput!D28=UserInput!D27,"","SET "&amp;UserInput!D28&amp;"TIMESreport '"&amp;UserInput!D28&amp;" TIMESreport'/ "))</f>
        <v xml:space="preserve">SET subsectorTIMESreport 'subsector TIMESreport'/ </v>
      </c>
      <c r="I29" s="15" t="str">
        <f>IF(UserInput!B28=0,"",UserInput!B28)</f>
        <v>SS_AGR</v>
      </c>
      <c r="J29" s="15" t="str">
        <f>IF(UserInput!C28=0,"","'"&amp;UserInput!C28&amp;"'")</f>
        <v>'Agriculture'</v>
      </c>
      <c r="K29" s="15" t="str">
        <f>IF(I29="","",IF(UserInput!D28=UserInput!D29,"","/ ;"))</f>
        <v/>
      </c>
      <c r="M29">
        <f t="shared" si="6"/>
        <v>23</v>
      </c>
      <c r="N29" s="13" t="str">
        <f t="shared" si="3"/>
        <v>SET subsectorTIMESreport 'subsector TIMESreport'/ SS_AGR 'Agriculture'</v>
      </c>
      <c r="O29" t="str">
        <f t="shared" si="4"/>
        <v>IMPNRGZ</v>
      </c>
      <c r="Q29" s="16"/>
      <c r="R29" s="15" t="str">
        <f>IF(UserInput!H28=0,"",IF(UserInput!H28=UserInput!H27,"","SET "&amp;UserInput!H28&amp;"TIMESreport '"&amp;UserInput!H28&amp;" TIMESreport'/ "))</f>
        <v/>
      </c>
      <c r="S29" s="15" t="str">
        <f>IF(UserInput!F28=0,"",UserInput!F28)</f>
        <v/>
      </c>
      <c r="T29" s="15" t="str">
        <f>IF(UserInput!G28=0,"","'"&amp;UserInput!G28&amp;"'")</f>
        <v/>
      </c>
      <c r="U29" s="15" t="str">
        <f>IF(S29="","",IF(UserInput!H28=UserInput!H29,"","/ ;"))</f>
        <v/>
      </c>
      <c r="W29" t="str">
        <f t="shared" si="7"/>
        <v/>
      </c>
      <c r="X29" t="str">
        <f t="shared" si="0"/>
        <v xml:space="preserve"> </v>
      </c>
      <c r="Y29" t="str">
        <f t="shared" si="5"/>
        <v/>
      </c>
    </row>
    <row r="30" spans="1:25" x14ac:dyDescent="0.4">
      <c r="A30" s="16"/>
      <c r="B30" t="str">
        <f t="shared" si="1"/>
        <v>PRC_GMAP</v>
      </c>
      <c r="C30" t="str">
        <f>IF(UserInput!B29=0,"",UserInput!B29)</f>
        <v>SS_BIO</v>
      </c>
      <c r="D30">
        <f t="shared" si="2"/>
        <v>1</v>
      </c>
      <c r="E30" t="str">
        <f>IF(UserInput!B29=0,"",UserInput!B29)</f>
        <v>SS_BIO</v>
      </c>
      <c r="G30" s="16"/>
      <c r="H30" s="15" t="str">
        <f>IF(UserInput!D29="","",IF(UserInput!D29=UserInput!D28,"","SET "&amp;UserInput!D29&amp;"TIMESreport '"&amp;UserInput!D29&amp;" TIMESreport'/ "))</f>
        <v/>
      </c>
      <c r="I30" s="15" t="str">
        <f>IF(UserInput!B29=0,"",UserInput!B29)</f>
        <v>SS_BIO</v>
      </c>
      <c r="J30" s="15" t="str">
        <f>IF(UserInput!C29=0,"","'"&amp;UserInput!C29&amp;"'")</f>
        <v>'Domestic biomass supply'</v>
      </c>
      <c r="K30" s="15" t="str">
        <f>IF(I30="","",IF(UserInput!D29=UserInput!D30,"","/ ;"))</f>
        <v/>
      </c>
      <c r="M30">
        <f t="shared" si="6"/>
        <v>24</v>
      </c>
      <c r="N30" s="13" t="str">
        <f t="shared" si="3"/>
        <v>SS_BIO 'Domestic biomass supply'</v>
      </c>
      <c r="O30" t="str">
        <f t="shared" si="4"/>
        <v>IMPNRGZ</v>
      </c>
      <c r="Q30" s="16"/>
      <c r="R30" s="15" t="str">
        <f>IF(UserInput!H29=0,"",IF(UserInput!H29=UserInput!H28,"","SET "&amp;UserInput!H29&amp;"TIMESreport '"&amp;UserInput!H29&amp;" TIMESreport'/ "))</f>
        <v/>
      </c>
      <c r="S30" s="15" t="str">
        <f>IF(UserInput!F29=0,"",UserInput!F29)</f>
        <v/>
      </c>
      <c r="T30" s="15" t="str">
        <f>IF(UserInput!G29=0,"","'"&amp;UserInput!G29&amp;"'")</f>
        <v/>
      </c>
      <c r="U30" s="15" t="str">
        <f>IF(S30="","",IF(UserInput!H29=UserInput!H30,"","/ ;"))</f>
        <v/>
      </c>
      <c r="W30" t="str">
        <f t="shared" si="7"/>
        <v/>
      </c>
      <c r="X30" t="str">
        <f t="shared" si="0"/>
        <v xml:space="preserve"> </v>
      </c>
      <c r="Y30" t="str">
        <f t="shared" si="5"/>
        <v/>
      </c>
    </row>
    <row r="31" spans="1:25" x14ac:dyDescent="0.4">
      <c r="A31" s="16"/>
      <c r="B31" t="str">
        <f t="shared" si="1"/>
        <v>PRC_GMAP</v>
      </c>
      <c r="C31" t="str">
        <f>IF(UserInput!B30=0,"",UserInput!B30)</f>
        <v>SS_CHP</v>
      </c>
      <c r="D31">
        <f t="shared" si="2"/>
        <v>1</v>
      </c>
      <c r="E31" t="str">
        <f>IF(UserInput!B30=0,"",UserInput!B30)</f>
        <v>SS_CHP</v>
      </c>
      <c r="G31" s="16"/>
      <c r="H31" s="15" t="str">
        <f>IF(UserInput!D30="","",IF(UserInput!D30=UserInput!D29,"","SET "&amp;UserInput!D30&amp;"TIMESreport '"&amp;UserInput!D30&amp;" TIMESreport'/ "))</f>
        <v/>
      </c>
      <c r="I31" s="15" t="str">
        <f>IF(UserInput!B30=0,"",UserInput!B30)</f>
        <v>SS_CHP</v>
      </c>
      <c r="J31" s="15" t="str">
        <f>IF(UserInput!C30=0,"","'"&amp;UserInput!C30&amp;"'")</f>
        <v>'Combined heat and power plant'</v>
      </c>
      <c r="K31" s="15" t="str">
        <f>IF(I31="","",IF(UserInput!D30=UserInput!D31,"","/ ;"))</f>
        <v/>
      </c>
      <c r="M31">
        <f t="shared" si="6"/>
        <v>25</v>
      </c>
      <c r="N31" s="13" t="str">
        <f t="shared" si="3"/>
        <v>SS_CHP 'Combined heat and power plant'</v>
      </c>
      <c r="O31" t="str">
        <f t="shared" si="4"/>
        <v>IMPNRGZ</v>
      </c>
      <c r="Q31" s="16"/>
      <c r="R31" s="15" t="str">
        <f>IF(UserInput!H30=0,"",IF(UserInput!H30=UserInput!H29,"","SET "&amp;UserInput!H30&amp;"TIMESreport '"&amp;UserInput!H30&amp;" TIMESreport'/ "))</f>
        <v/>
      </c>
      <c r="S31" s="15" t="str">
        <f>IF(UserInput!F30=0,"",UserInput!F30)</f>
        <v/>
      </c>
      <c r="T31" s="15" t="str">
        <f>IF(UserInput!G30=0,"","'"&amp;UserInput!G30&amp;"'")</f>
        <v/>
      </c>
      <c r="U31" s="15" t="str">
        <f>IF(S31="","",IF(UserInput!H30=UserInput!H31,"","/ ;"))</f>
        <v/>
      </c>
      <c r="W31" t="str">
        <f t="shared" si="7"/>
        <v/>
      </c>
      <c r="X31" t="str">
        <f t="shared" si="0"/>
        <v xml:space="preserve"> </v>
      </c>
      <c r="Y31" t="str">
        <f t="shared" si="5"/>
        <v/>
      </c>
    </row>
    <row r="32" spans="1:25" x14ac:dyDescent="0.4">
      <c r="A32" s="16"/>
      <c r="B32" t="str">
        <f t="shared" si="1"/>
        <v>PRC_GMAP</v>
      </c>
      <c r="C32" t="str">
        <f>IF(UserInput!B31=0,"",UserInput!B31)</f>
        <v>SS_COA</v>
      </c>
      <c r="D32">
        <f t="shared" si="2"/>
        <v>1</v>
      </c>
      <c r="E32" t="str">
        <f>IF(UserInput!B31=0,"",UserInput!B31)</f>
        <v>SS_COA</v>
      </c>
      <c r="G32" s="16"/>
      <c r="H32" s="15" t="str">
        <f>IF(UserInput!D31="","",IF(UserInput!D31=UserInput!D30,"","SET "&amp;UserInput!D31&amp;"TIMESreport '"&amp;UserInput!D31&amp;" TIMESreport'/ "))</f>
        <v/>
      </c>
      <c r="I32" s="15" t="str">
        <f>IF(UserInput!B31=0,"",UserInput!B31)</f>
        <v>SS_COA</v>
      </c>
      <c r="J32" s="15" t="str">
        <f>IF(UserInput!C31=0,"","'"&amp;UserInput!C31&amp;"'")</f>
        <v>'Coal supply'</v>
      </c>
      <c r="K32" s="15" t="str">
        <f>IF(I32="","",IF(UserInput!D31=UserInput!D32,"","/ ;"))</f>
        <v/>
      </c>
      <c r="M32">
        <f t="shared" si="6"/>
        <v>26</v>
      </c>
      <c r="N32" s="13" t="str">
        <f t="shared" si="3"/>
        <v>SS_COA 'Coal supply'</v>
      </c>
      <c r="O32" t="str">
        <f t="shared" si="4"/>
        <v>IMPNRGZ</v>
      </c>
      <c r="Q32" s="16"/>
      <c r="R32" s="15" t="str">
        <f>IF(UserInput!H31=0,"",IF(UserInput!H31=UserInput!H30,"","SET "&amp;UserInput!H31&amp;"TIMESreport '"&amp;UserInput!H31&amp;" TIMESreport'/ "))</f>
        <v/>
      </c>
      <c r="S32" s="15" t="str">
        <f>IF(UserInput!F31=0,"",UserInput!F31)</f>
        <v/>
      </c>
      <c r="T32" s="15" t="str">
        <f>IF(UserInput!G31=0,"","'"&amp;UserInput!G31&amp;"'")</f>
        <v/>
      </c>
      <c r="U32" s="15" t="str">
        <f>IF(S32="","",IF(UserInput!H31=UserInput!H32,"","/ ;"))</f>
        <v/>
      </c>
      <c r="W32" t="str">
        <f t="shared" si="7"/>
        <v/>
      </c>
      <c r="X32" t="str">
        <f t="shared" si="0"/>
        <v xml:space="preserve"> </v>
      </c>
      <c r="Y32" t="str">
        <f t="shared" si="5"/>
        <v/>
      </c>
    </row>
    <row r="33" spans="1:25" ht="12.75" customHeight="1" x14ac:dyDescent="0.4">
      <c r="A33" s="16"/>
      <c r="B33" t="str">
        <f t="shared" si="1"/>
        <v>PRC_GMAP</v>
      </c>
      <c r="C33" t="str">
        <f>IF(UserInput!B32=0,"",UserInput!B32)</f>
        <v>SS_COM</v>
      </c>
      <c r="D33">
        <f t="shared" si="2"/>
        <v>1</v>
      </c>
      <c r="E33" t="str">
        <f>IF(UserInput!B32=0,"",UserInput!B32)</f>
        <v>SS_COM</v>
      </c>
      <c r="G33" s="16"/>
      <c r="H33" s="15" t="str">
        <f>IF(UserInput!D32="","",IF(UserInput!D32=UserInput!D31,"","SET "&amp;UserInput!D32&amp;"TIMESreport '"&amp;UserInput!D32&amp;" TIMESreport'/ "))</f>
        <v/>
      </c>
      <c r="I33" s="15" t="str">
        <f>IF(UserInput!B32=0,"",UserInput!B32)</f>
        <v>SS_COM</v>
      </c>
      <c r="J33" s="15" t="str">
        <f>IF(UserInput!C32=0,"","'"&amp;UserInput!C32&amp;"'")</f>
        <v>'Commercial'</v>
      </c>
      <c r="K33" s="15" t="str">
        <f>IF(I33="","",IF(UserInput!D32=UserInput!D33,"","/ ;"))</f>
        <v/>
      </c>
      <c r="M33">
        <f t="shared" si="6"/>
        <v>27</v>
      </c>
      <c r="N33" s="13" t="str">
        <f t="shared" si="3"/>
        <v>SS_COM 'Commercial'</v>
      </c>
      <c r="O33" t="str">
        <f t="shared" si="4"/>
        <v>IMPNRGZ</v>
      </c>
      <c r="Q33" s="16"/>
      <c r="R33" s="15" t="str">
        <f>IF(UserInput!H32=0,"",IF(UserInput!H32=UserInput!H31,"","SET "&amp;UserInput!H32&amp;"TIMESreport '"&amp;UserInput!H32&amp;" TIMESreport'/ "))</f>
        <v/>
      </c>
      <c r="S33" s="15" t="str">
        <f>IF(UserInput!F32=0,"",UserInput!F32)</f>
        <v/>
      </c>
      <c r="T33" s="15" t="str">
        <f>IF(UserInput!G32=0,"","'"&amp;UserInput!G32&amp;"'")</f>
        <v/>
      </c>
      <c r="U33" s="15" t="str">
        <f>IF(S33="","",IF(UserInput!H32=UserInput!H33,"","/ ;"))</f>
        <v/>
      </c>
      <c r="W33" t="str">
        <f t="shared" si="7"/>
        <v/>
      </c>
      <c r="X33" t="str">
        <f t="shared" si="0"/>
        <v xml:space="preserve"> </v>
      </c>
      <c r="Y33" t="str">
        <f t="shared" si="5"/>
        <v/>
      </c>
    </row>
    <row r="34" spans="1:25" x14ac:dyDescent="0.4">
      <c r="A34" s="16"/>
      <c r="B34" t="str">
        <f t="shared" si="1"/>
        <v>PRC_GMAP</v>
      </c>
      <c r="C34" t="str">
        <f>IF(UserInput!B33=0,"",UserInput!B33)</f>
        <v>SS_ELC</v>
      </c>
      <c r="D34">
        <f t="shared" si="2"/>
        <v>1</v>
      </c>
      <c r="E34" t="str">
        <f>IF(UserInput!B33=0,"",UserInput!B33)</f>
        <v>SS_ELC</v>
      </c>
      <c r="G34" s="16"/>
      <c r="H34" s="15" t="str">
        <f>IF(UserInput!D33="","",IF(UserInput!D33=UserInput!D32,"","SET "&amp;UserInput!D33&amp;"TIMESreport '"&amp;UserInput!D33&amp;" TIMESreport'/ "))</f>
        <v/>
      </c>
      <c r="I34" s="15" t="str">
        <f>IF(UserInput!B33=0,"",UserInput!B33)</f>
        <v>SS_ELC</v>
      </c>
      <c r="J34" s="15" t="str">
        <f>IF(UserInput!C33=0,"","'"&amp;UserInput!C33&amp;"'")</f>
        <v>'Electricity trade'</v>
      </c>
      <c r="K34" s="15" t="str">
        <f>IF(I34="","",IF(UserInput!D33=UserInput!D34,"","/ ;"))</f>
        <v/>
      </c>
      <c r="M34">
        <f t="shared" si="6"/>
        <v>28</v>
      </c>
      <c r="N34" s="13" t="str">
        <f t="shared" si="3"/>
        <v>SS_ELC 'Electricity trade'</v>
      </c>
      <c r="O34" t="str">
        <f t="shared" si="4"/>
        <v>IMPNRGZ</v>
      </c>
      <c r="Q34" s="16"/>
      <c r="R34" s="15" t="str">
        <f>IF(UserInput!H33=0,"",IF(UserInput!H33=UserInput!H32,"","SET "&amp;UserInput!H33&amp;"TIMESreport '"&amp;UserInput!H33&amp;" TIMESreport'/ "))</f>
        <v/>
      </c>
      <c r="S34" s="15" t="str">
        <f>IF(UserInput!F33=0,"",UserInput!F33)</f>
        <v/>
      </c>
      <c r="T34" s="15" t="str">
        <f>IF(UserInput!G33=0,"","'"&amp;UserInput!G33&amp;"'")</f>
        <v/>
      </c>
      <c r="U34" s="15" t="str">
        <f>IF(S34="","",IF(UserInput!H33=UserInput!H34,"","/ ;"))</f>
        <v/>
      </c>
      <c r="W34" t="str">
        <f t="shared" si="7"/>
        <v/>
      </c>
      <c r="X34" t="str">
        <f t="shared" si="0"/>
        <v xml:space="preserve"> </v>
      </c>
      <c r="Y34" t="str">
        <f t="shared" si="5"/>
        <v/>
      </c>
    </row>
    <row r="35" spans="1:25" x14ac:dyDescent="0.4">
      <c r="A35" s="16"/>
      <c r="B35" t="str">
        <f t="shared" si="1"/>
        <v>PRC_GMAP</v>
      </c>
      <c r="C35" t="str">
        <f>IF(UserInput!B34=0,"",UserInput!B34)</f>
        <v>SS_ELE</v>
      </c>
      <c r="D35">
        <f t="shared" si="2"/>
        <v>1</v>
      </c>
      <c r="E35" t="str">
        <f>IF(UserInput!B34=0,"",UserInput!B34)</f>
        <v>SS_ELE</v>
      </c>
      <c r="G35" s="16"/>
      <c r="H35" s="15" t="str">
        <f>IF(UserInput!D34="","",IF(UserInput!D34=UserInput!D33,"","SET "&amp;UserInput!D34&amp;"TIMESreport '"&amp;UserInput!D34&amp;" TIMESreport'/ "))</f>
        <v/>
      </c>
      <c r="I35" s="15" t="str">
        <f>IF(UserInput!B34=0,"",UserInput!B34)</f>
        <v>SS_ELE</v>
      </c>
      <c r="J35" s="15" t="str">
        <f>IF(UserInput!C34=0,"","'"&amp;UserInput!C34&amp;"'")</f>
        <v>'Power plants'</v>
      </c>
      <c r="K35" s="15" t="str">
        <f>IF(I35="","",IF(UserInput!D34=UserInput!D35,"","/ ;"))</f>
        <v/>
      </c>
      <c r="M35">
        <f t="shared" si="6"/>
        <v>29</v>
      </c>
      <c r="N35" s="13" t="str">
        <f t="shared" si="3"/>
        <v>SS_ELE 'Power plants'</v>
      </c>
      <c r="O35" t="str">
        <f t="shared" si="4"/>
        <v>IMPNRGZ</v>
      </c>
      <c r="Q35" s="16"/>
      <c r="R35" s="15" t="str">
        <f>IF(UserInput!H34=0,"",IF(UserInput!H34=UserInput!H33,"","SET "&amp;UserInput!H34&amp;"TIMESreport '"&amp;UserInput!H34&amp;" TIMESreport'/ "))</f>
        <v/>
      </c>
      <c r="S35" s="15" t="str">
        <f>IF(UserInput!F34=0,"",UserInput!F34)</f>
        <v/>
      </c>
      <c r="T35" s="15" t="str">
        <f>IF(UserInput!G34=0,"","'"&amp;UserInput!G34&amp;"'")</f>
        <v/>
      </c>
      <c r="U35" s="15" t="str">
        <f>IF(S35="","",IF(UserInput!H34=UserInput!H35,"","/ ;"))</f>
        <v/>
      </c>
      <c r="W35" t="str">
        <f t="shared" si="7"/>
        <v/>
      </c>
      <c r="X35" t="str">
        <f t="shared" si="0"/>
        <v xml:space="preserve"> </v>
      </c>
      <c r="Y35" t="str">
        <f t="shared" si="5"/>
        <v/>
      </c>
    </row>
    <row r="36" spans="1:25" x14ac:dyDescent="0.4">
      <c r="A36" s="16"/>
      <c r="B36" t="str">
        <f t="shared" si="1"/>
        <v>PRC_GMAP</v>
      </c>
      <c r="C36" t="str">
        <f>IF(UserInput!B35=0,"",UserInput!B35)</f>
        <v>SS_GAS</v>
      </c>
      <c r="D36">
        <f t="shared" si="2"/>
        <v>1</v>
      </c>
      <c r="E36" t="str">
        <f>IF(UserInput!B35=0,"",UserInput!B35)</f>
        <v>SS_GAS</v>
      </c>
      <c r="G36" s="16"/>
      <c r="H36" s="15" t="str">
        <f>IF(UserInput!D35="","",IF(UserInput!D35=UserInput!D34,"","SET "&amp;UserInput!D35&amp;"TIMESreport '"&amp;UserInput!D35&amp;" TIMESreport'/ "))</f>
        <v/>
      </c>
      <c r="I36" s="15" t="str">
        <f>IF(UserInput!B35=0,"",UserInput!B35)</f>
        <v>SS_GAS</v>
      </c>
      <c r="J36" s="15" t="str">
        <f>IF(UserInput!C35=0,"","'"&amp;UserInput!C35&amp;"'")</f>
        <v>'Natural gas supply'</v>
      </c>
      <c r="K36" s="15" t="str">
        <f>IF(I36="","",IF(UserInput!D35=UserInput!D36,"","/ ;"))</f>
        <v/>
      </c>
      <c r="M36">
        <f t="shared" si="6"/>
        <v>30</v>
      </c>
      <c r="N36" s="13" t="str">
        <f t="shared" si="3"/>
        <v>SS_GAS 'Natural gas supply'</v>
      </c>
      <c r="O36" t="str">
        <f t="shared" si="4"/>
        <v>IMPNRGZ</v>
      </c>
      <c r="Q36" s="16"/>
      <c r="R36" s="15" t="str">
        <f>IF(UserInput!H35=0,"",IF(UserInput!H35=UserInput!H34,"","SET "&amp;UserInput!H35&amp;"TIMESreport '"&amp;UserInput!H35&amp;" TIMESreport'/ "))</f>
        <v/>
      </c>
      <c r="S36" s="15" t="str">
        <f>IF(UserInput!F35=0,"",UserInput!F35)</f>
        <v/>
      </c>
      <c r="T36" s="15" t="str">
        <f>IF(UserInput!G35=0,"","'"&amp;UserInput!G35&amp;"'")</f>
        <v/>
      </c>
      <c r="U36" s="15" t="str">
        <f>IF(S36="","",IF(UserInput!H35=UserInput!H36,"","/ ;"))</f>
        <v/>
      </c>
      <c r="W36" t="str">
        <f t="shared" si="7"/>
        <v/>
      </c>
      <c r="X36" t="str">
        <f t="shared" si="0"/>
        <v xml:space="preserve"> </v>
      </c>
      <c r="Y36" t="str">
        <f t="shared" si="5"/>
        <v/>
      </c>
    </row>
    <row r="37" spans="1:25" x14ac:dyDescent="0.4">
      <c r="A37" s="16"/>
      <c r="B37" t="str">
        <f t="shared" si="1"/>
        <v>PRC_GMAP</v>
      </c>
      <c r="C37" t="str">
        <f>IF(UserInput!B36=0,"",UserInput!B36)</f>
        <v>SS_HPL</v>
      </c>
      <c r="D37">
        <f t="shared" si="2"/>
        <v>1</v>
      </c>
      <c r="E37" t="str">
        <f>IF(UserInput!B36=0,"",UserInput!B36)</f>
        <v>SS_HPL</v>
      </c>
      <c r="G37" s="16"/>
      <c r="H37" s="15" t="str">
        <f>IF(UserInput!D36="","",IF(UserInput!D36=UserInput!D35,"","SET "&amp;UserInput!D36&amp;"TIMESreport '"&amp;UserInput!D36&amp;" TIMESreport'/ "))</f>
        <v/>
      </c>
      <c r="I37" s="15" t="str">
        <f>IF(UserInput!B36=0,"",UserInput!B36)</f>
        <v>SS_HPL</v>
      </c>
      <c r="J37" s="15" t="str">
        <f>IF(UserInput!C36=0,"","'"&amp;UserInput!C36&amp;"'")</f>
        <v>'Heating plant'</v>
      </c>
      <c r="K37" s="15" t="str">
        <f>IF(I37="","",IF(UserInput!D36=UserInput!D37,"","/ ;"))</f>
        <v/>
      </c>
      <c r="M37">
        <f t="shared" si="6"/>
        <v>31</v>
      </c>
      <c r="N37" s="13" t="str">
        <f t="shared" si="3"/>
        <v>SS_HPL 'Heating plant'</v>
      </c>
      <c r="O37" t="str">
        <f t="shared" si="4"/>
        <v>IMPNRGZ</v>
      </c>
      <c r="Q37" s="16"/>
      <c r="R37" s="15" t="str">
        <f>IF(UserInput!H36=0,"",IF(UserInput!H36=UserInput!H35,"","SET "&amp;UserInput!H36&amp;"TIMESreport '"&amp;UserInput!H36&amp;" TIMESreport'/ "))</f>
        <v/>
      </c>
      <c r="S37" s="15" t="str">
        <f>IF(UserInput!F36=0,"",UserInput!F36)</f>
        <v/>
      </c>
      <c r="T37" s="15" t="str">
        <f>IF(UserInput!G36=0,"","'"&amp;UserInput!G36&amp;"'")</f>
        <v/>
      </c>
      <c r="U37" s="15" t="str">
        <f>IF(S37="","",IF(UserInput!H36=UserInput!H37,"","/ ;"))</f>
        <v/>
      </c>
      <c r="W37" t="str">
        <f t="shared" si="7"/>
        <v/>
      </c>
      <c r="X37" t="str">
        <f t="shared" si="0"/>
        <v xml:space="preserve"> </v>
      </c>
      <c r="Y37" t="str">
        <f t="shared" si="5"/>
        <v/>
      </c>
    </row>
    <row r="38" spans="1:25" x14ac:dyDescent="0.4">
      <c r="A38" s="16"/>
      <c r="B38" t="str">
        <f t="shared" si="1"/>
        <v>PRC_GMAP</v>
      </c>
      <c r="C38" t="str">
        <f>IF(UserInput!B37=0,"",UserInput!B37)</f>
        <v>SS_IRO</v>
      </c>
      <c r="D38">
        <f t="shared" si="2"/>
        <v>1</v>
      </c>
      <c r="E38" t="str">
        <f>IF(UserInput!B37=0,"",UserInput!B37)</f>
        <v>SS_IRO</v>
      </c>
      <c r="G38" s="16"/>
      <c r="H38" s="15" t="str">
        <f>IF(UserInput!D37="","",IF(UserInput!D37=UserInput!D36,"","SET "&amp;UserInput!D37&amp;"TIMESreport '"&amp;UserInput!D37&amp;" TIMESreport'/ "))</f>
        <v/>
      </c>
      <c r="I38" s="15" t="str">
        <f>IF(UserInput!B37=0,"",UserInput!B37)</f>
        <v>SS_IRO</v>
      </c>
      <c r="J38" s="15" t="str">
        <f>IF(UserInput!C37=0,"","'"&amp;UserInput!C37&amp;"'")</f>
        <v>'Industrial Iron'</v>
      </c>
      <c r="K38" s="15" t="str">
        <f>IF(I38="","",IF(UserInput!D37=UserInput!D38,"","/ ;"))</f>
        <v/>
      </c>
      <c r="M38">
        <f t="shared" si="6"/>
        <v>32</v>
      </c>
      <c r="N38" s="13" t="str">
        <f t="shared" si="3"/>
        <v>SS_IRO 'Industrial Iron'</v>
      </c>
      <c r="O38" t="str">
        <f t="shared" si="4"/>
        <v>IMPNRGZ</v>
      </c>
      <c r="Q38" s="16"/>
      <c r="R38" s="15" t="str">
        <f>IF(UserInput!H37=0,"",IF(UserInput!H37=UserInput!H36,"","SET "&amp;UserInput!H37&amp;"TIMESreport '"&amp;UserInput!H37&amp;" TIMESreport'/ "))</f>
        <v/>
      </c>
      <c r="S38" s="15" t="str">
        <f>IF(UserInput!F37=0,"",UserInput!F37)</f>
        <v/>
      </c>
      <c r="T38" s="15" t="str">
        <f>IF(UserInput!G37=0,"","'"&amp;UserInput!G37&amp;"'")</f>
        <v/>
      </c>
      <c r="U38" s="15" t="str">
        <f>IF(S38="","",IF(UserInput!H37=UserInput!H38,"","/ ;"))</f>
        <v/>
      </c>
      <c r="W38" t="str">
        <f t="shared" si="7"/>
        <v/>
      </c>
      <c r="X38" t="str">
        <f t="shared" si="0"/>
        <v xml:space="preserve"> </v>
      </c>
      <c r="Y38" t="str">
        <f t="shared" si="5"/>
        <v/>
      </c>
    </row>
    <row r="39" spans="1:25" x14ac:dyDescent="0.4">
      <c r="A39" s="16"/>
      <c r="B39" t="str">
        <f t="shared" si="1"/>
        <v>PRC_GMAP</v>
      </c>
      <c r="C39" t="str">
        <f>IF(UserInput!B38=0,"",UserInput!B38)</f>
        <v>SS_IND</v>
      </c>
      <c r="D39">
        <f t="shared" si="2"/>
        <v>1</v>
      </c>
      <c r="E39" t="str">
        <f>IF(UserInput!B38=0,"",UserInput!B38)</f>
        <v>SS_IND</v>
      </c>
      <c r="G39" s="16"/>
      <c r="H39" s="15" t="str">
        <f>IF(UserInput!D38="","",IF(UserInput!D38=UserInput!D37,"","SET "&amp;UserInput!D38&amp;"TIMESreport '"&amp;UserInput!D38&amp;" TIMESreport'/ "))</f>
        <v/>
      </c>
      <c r="I39" s="15" t="str">
        <f>IF(UserInput!B38=0,"",UserInput!B38)</f>
        <v>SS_IND</v>
      </c>
      <c r="J39" s="15" t="str">
        <f>IF(UserInput!C38=0,"","'"&amp;UserInput!C38&amp;"'")</f>
        <v>'Industry other'</v>
      </c>
      <c r="K39" s="15" t="str">
        <f>IF(I39="","",IF(UserInput!D38=UserInput!D39,"","/ ;"))</f>
        <v/>
      </c>
      <c r="M39">
        <f t="shared" si="6"/>
        <v>33</v>
      </c>
      <c r="N39" s="13" t="str">
        <f t="shared" si="3"/>
        <v>SS_IND 'Industry other'</v>
      </c>
      <c r="O39" t="str">
        <f t="shared" si="4"/>
        <v>IMPNRGZ</v>
      </c>
      <c r="Q39" s="16"/>
      <c r="R39" s="15" t="str">
        <f>IF(UserInput!H38=0,"",IF(UserInput!H38=UserInput!H37,"","SET "&amp;UserInput!H38&amp;"TIMESreport '"&amp;UserInput!H38&amp;" TIMESreport'/ "))</f>
        <v/>
      </c>
      <c r="S39" s="15" t="str">
        <f>IF(UserInput!F38=0,"",UserInput!F38)</f>
        <v/>
      </c>
      <c r="T39" s="15" t="str">
        <f>IF(UserInput!G38=0,"","'"&amp;UserInput!G38&amp;"'")</f>
        <v/>
      </c>
      <c r="U39" s="15" t="str">
        <f>IF(S39="","",IF(UserInput!H38=UserInput!H39,"","/ ;"))</f>
        <v/>
      </c>
      <c r="W39" t="str">
        <f t="shared" si="7"/>
        <v/>
      </c>
      <c r="X39" t="str">
        <f t="shared" si="0"/>
        <v xml:space="preserve"> </v>
      </c>
      <c r="Y39" t="str">
        <f t="shared" si="5"/>
        <v/>
      </c>
    </row>
    <row r="40" spans="1:25" x14ac:dyDescent="0.4">
      <c r="A40" s="16"/>
      <c r="B40" t="str">
        <f t="shared" si="1"/>
        <v>PRC_GMAP</v>
      </c>
      <c r="C40" t="str">
        <f>IF(UserInput!B39=0,"",UserInput!B39)</f>
        <v>SS_NUC</v>
      </c>
      <c r="D40">
        <f t="shared" si="2"/>
        <v>1</v>
      </c>
      <c r="E40" t="str">
        <f>IF(UserInput!B39=0,"",UserInput!B39)</f>
        <v>SS_NUC</v>
      </c>
      <c r="G40" s="16"/>
      <c r="H40" s="15" t="str">
        <f>IF(UserInput!D39="","",IF(UserInput!D39=UserInput!D38,"","SET "&amp;UserInput!D39&amp;"TIMESreport '"&amp;UserInput!D39&amp;" TIMESreport'/ "))</f>
        <v/>
      </c>
      <c r="I40" s="15" t="str">
        <f>IF(UserInput!B39=0,"",UserInput!B39)</f>
        <v>SS_NUC</v>
      </c>
      <c r="J40" s="15" t="str">
        <f>IF(UserInput!C39=0,"","'"&amp;UserInput!C39&amp;"'")</f>
        <v>'Mining nuclear fuel supply'</v>
      </c>
      <c r="K40" s="15" t="str">
        <f>IF(I40="","",IF(UserInput!D39=UserInput!D40,"","/ ;"))</f>
        <v/>
      </c>
      <c r="M40">
        <f t="shared" si="6"/>
        <v>34</v>
      </c>
      <c r="N40" s="13" t="str">
        <f t="shared" si="3"/>
        <v>SS_NUC 'Mining nuclear fuel supply'</v>
      </c>
      <c r="O40" t="str">
        <f t="shared" si="4"/>
        <v>IMPNRGZ</v>
      </c>
      <c r="Q40" s="16"/>
      <c r="R40" s="15" t="str">
        <f>IF(UserInput!H39=0,"",IF(UserInput!H39=UserInput!H38,"","SET "&amp;UserInput!H39&amp;"TIMESreport '"&amp;UserInput!H39&amp;" TIMESreport'/ "))</f>
        <v/>
      </c>
      <c r="S40" s="15" t="str">
        <f>IF(UserInput!F39=0,"",UserInput!F39)</f>
        <v/>
      </c>
      <c r="T40" s="15" t="str">
        <f>IF(UserInput!G39=0,"","'"&amp;UserInput!G39&amp;"'")</f>
        <v/>
      </c>
      <c r="U40" s="15" t="str">
        <f>IF(S40="","",IF(UserInput!H39=UserInput!H40,"","/ ;"))</f>
        <v/>
      </c>
      <c r="W40" t="str">
        <f t="shared" si="7"/>
        <v/>
      </c>
      <c r="X40" t="str">
        <f t="shared" si="0"/>
        <v xml:space="preserve"> </v>
      </c>
      <c r="Y40" t="str">
        <f t="shared" si="5"/>
        <v/>
      </c>
    </row>
    <row r="41" spans="1:25" x14ac:dyDescent="0.4">
      <c r="A41" s="16"/>
      <c r="B41" t="str">
        <f t="shared" si="1"/>
        <v>PRC_GMAP</v>
      </c>
      <c r="C41" t="str">
        <f>IF(UserInput!B40=0,"",UserInput!B40)</f>
        <v>SS_OIL</v>
      </c>
      <c r="D41">
        <f t="shared" si="2"/>
        <v>1</v>
      </c>
      <c r="E41" t="str">
        <f>IF(UserInput!B40=0,"",UserInput!B40)</f>
        <v>SS_OIL</v>
      </c>
      <c r="G41" s="16"/>
      <c r="H41" s="15" t="str">
        <f>IF(UserInput!D40="","",IF(UserInput!D40=UserInput!D39,"","SET "&amp;UserInput!D40&amp;"TIMESreport '"&amp;UserInput!D40&amp;" TIMESreport'/ "))</f>
        <v/>
      </c>
      <c r="I41" s="15" t="str">
        <f>IF(UserInput!B40=0,"",UserInput!B40)</f>
        <v>SS_OIL</v>
      </c>
      <c r="J41" s="15" t="str">
        <f>IF(UserInput!C40=0,"","'"&amp;UserInput!C40&amp;"'")</f>
        <v>'Oil supply'</v>
      </c>
      <c r="K41" s="15" t="str">
        <f>IF(I41="","",IF(UserInput!D40=UserInput!D41,"","/ ;"))</f>
        <v/>
      </c>
      <c r="M41">
        <f t="shared" si="6"/>
        <v>35</v>
      </c>
      <c r="N41" s="13" t="str">
        <f t="shared" si="3"/>
        <v>SS_OIL 'Oil supply'</v>
      </c>
      <c r="O41" t="str">
        <f t="shared" si="4"/>
        <v>IMPNRGZ</v>
      </c>
      <c r="Q41" s="16"/>
      <c r="R41" s="15" t="str">
        <f>IF(UserInput!H40=0,"",IF(UserInput!H40=UserInput!H39,"","SET "&amp;UserInput!H40&amp;"TIMESreport '"&amp;UserInput!H40&amp;" TIMESreport'/ "))</f>
        <v/>
      </c>
      <c r="S41" s="15" t="str">
        <f>IF(UserInput!F40=0,"",UserInput!F40)</f>
        <v/>
      </c>
      <c r="T41" s="15" t="str">
        <f>IF(UserInput!G40=0,"","'"&amp;UserInput!G40&amp;"'")</f>
        <v/>
      </c>
      <c r="U41" s="15" t="str">
        <f>IF(S41="","",IF(UserInput!H40=UserInput!H41,"","/ ;"))</f>
        <v/>
      </c>
      <c r="W41" t="str">
        <f t="shared" si="7"/>
        <v/>
      </c>
      <c r="X41" t="str">
        <f t="shared" si="0"/>
        <v xml:space="preserve"> </v>
      </c>
      <c r="Y41" t="str">
        <f t="shared" si="5"/>
        <v/>
      </c>
    </row>
    <row r="42" spans="1:25" x14ac:dyDescent="0.4">
      <c r="A42" s="16"/>
      <c r="B42" t="str">
        <f t="shared" si="1"/>
        <v>PRC_GMAP</v>
      </c>
      <c r="C42" t="str">
        <f>IF(UserInput!B41=0,"",UserInput!B41)</f>
        <v>SS_ORE</v>
      </c>
      <c r="D42">
        <f t="shared" si="2"/>
        <v>1</v>
      </c>
      <c r="E42" t="str">
        <f>IF(UserInput!B41=0,"",UserInput!B41)</f>
        <v>SS_ORE</v>
      </c>
      <c r="G42" s="16"/>
      <c r="H42" s="15" t="str">
        <f>IF(UserInput!D41="","",IF(UserInput!D41=UserInput!D40,"","SET "&amp;UserInput!D41&amp;"TIMESreport '"&amp;UserInput!D41&amp;" TIMESreport'/ "))</f>
        <v/>
      </c>
      <c r="I42" s="15" t="str">
        <f>IF(UserInput!B41=0,"",UserInput!B41)</f>
        <v>SS_ORE</v>
      </c>
      <c r="J42" s="15" t="str">
        <f>IF(UserInput!C41=0,"","'"&amp;UserInput!C41&amp;"'")</f>
        <v>'Industrial Ore'</v>
      </c>
      <c r="K42" s="15" t="str">
        <f>IF(I42="","",IF(UserInput!D41=UserInput!D42,"","/ ;"))</f>
        <v/>
      </c>
      <c r="M42">
        <f t="shared" si="6"/>
        <v>36</v>
      </c>
      <c r="N42" s="13" t="str">
        <f t="shared" si="3"/>
        <v>SS_ORE 'Industrial Ore'</v>
      </c>
      <c r="O42" t="str">
        <f t="shared" si="4"/>
        <v>IMPNRGZ</v>
      </c>
      <c r="Q42" s="16"/>
      <c r="R42" s="15" t="str">
        <f>IF(UserInput!H41=0,"",IF(UserInput!H41=UserInput!H40,"","SET "&amp;UserInput!H41&amp;"TIMESreport '"&amp;UserInput!H41&amp;" TIMESreport'/ "))</f>
        <v/>
      </c>
      <c r="S42" s="15" t="str">
        <f>IF(UserInput!F41=0,"",UserInput!F41)</f>
        <v/>
      </c>
      <c r="T42" s="15" t="str">
        <f>IF(UserInput!G41=0,"","'"&amp;UserInput!G41&amp;"'")</f>
        <v/>
      </c>
      <c r="U42" s="15" t="str">
        <f>IF(S42="","",IF(UserInput!H41=UserInput!H42,"","/ ;"))</f>
        <v/>
      </c>
      <c r="W42" t="str">
        <f t="shared" si="7"/>
        <v/>
      </c>
      <c r="X42" t="str">
        <f t="shared" si="0"/>
        <v xml:space="preserve"> </v>
      </c>
      <c r="Y42" t="str">
        <f t="shared" si="5"/>
        <v/>
      </c>
    </row>
    <row r="43" spans="1:25" x14ac:dyDescent="0.4">
      <c r="A43" s="16"/>
      <c r="B43" t="str">
        <f t="shared" si="1"/>
        <v>PRC_GMAP</v>
      </c>
      <c r="C43" t="str">
        <f>IF(UserInput!B42=0,"",UserInput!B42)</f>
        <v>SS_OXY</v>
      </c>
      <c r="D43">
        <f t="shared" si="2"/>
        <v>1</v>
      </c>
      <c r="E43" t="str">
        <f>IF(UserInput!B42=0,"",UserInput!B42)</f>
        <v>SS_OXY</v>
      </c>
      <c r="G43" s="16"/>
      <c r="H43" s="15" t="str">
        <f>IF(UserInput!D42="","",IF(UserInput!D42=UserInput!D41,"","SET "&amp;UserInput!D42&amp;"TIMESreport '"&amp;UserInput!D42&amp;" TIMESreport'/ "))</f>
        <v/>
      </c>
      <c r="I43" s="15" t="str">
        <f>IF(UserInput!B42=0,"",UserInput!B42)</f>
        <v>SS_OXY</v>
      </c>
      <c r="J43" s="15" t="str">
        <f>IF(UserInput!C42=0,"","'"&amp;UserInput!C42&amp;"'")</f>
        <v>'Oxygen supply '</v>
      </c>
      <c r="K43" s="15" t="str">
        <f>IF(I43="","",IF(UserInput!D42=UserInput!D43,"","/ ;"))</f>
        <v/>
      </c>
      <c r="M43">
        <f t="shared" si="6"/>
        <v>37</v>
      </c>
      <c r="N43" s="13" t="str">
        <f t="shared" si="3"/>
        <v>SS_OXY 'Oxygen supply '</v>
      </c>
      <c r="O43" t="str">
        <f t="shared" si="4"/>
        <v>IMPNRGZ</v>
      </c>
      <c r="Q43" s="16"/>
      <c r="R43" s="15" t="str">
        <f>IF(UserInput!H42=0,"",IF(UserInput!H42=UserInput!H41,"","SET "&amp;UserInput!H42&amp;"TIMESreport '"&amp;UserInput!H42&amp;" TIMESreport'/ "))</f>
        <v/>
      </c>
      <c r="S43" s="15" t="str">
        <f>IF(UserInput!F42=0,"",UserInput!F42)</f>
        <v/>
      </c>
      <c r="T43" s="15" t="str">
        <f>IF(UserInput!G42=0,"","'"&amp;UserInput!G42&amp;"'")</f>
        <v/>
      </c>
      <c r="U43" s="15" t="str">
        <f>IF(S43="","",IF(UserInput!H42=UserInput!H43,"","/ ;"))</f>
        <v/>
      </c>
      <c r="W43" t="str">
        <f t="shared" si="7"/>
        <v/>
      </c>
      <c r="X43" t="str">
        <f t="shared" si="0"/>
        <v xml:space="preserve"> </v>
      </c>
      <c r="Y43" t="str">
        <f t="shared" si="5"/>
        <v/>
      </c>
    </row>
    <row r="44" spans="1:25" x14ac:dyDescent="0.4">
      <c r="A44" s="16"/>
      <c r="B44" t="str">
        <f t="shared" si="1"/>
        <v>PRC_GMAP</v>
      </c>
      <c r="C44" t="str">
        <f>IF(UserInput!B43=0,"",UserInput!B43)</f>
        <v>SS_REF</v>
      </c>
      <c r="D44">
        <f t="shared" si="2"/>
        <v>1</v>
      </c>
      <c r="E44" t="str">
        <f>IF(UserInput!B43=0,"",UserInput!B43)</f>
        <v>SS_REF</v>
      </c>
      <c r="G44" s="16"/>
      <c r="H44" s="15" t="str">
        <f>IF(UserInput!D43="","",IF(UserInput!D43=UserInput!D42,"","SET "&amp;UserInput!D43&amp;"TIMESreport '"&amp;UserInput!D43&amp;" TIMESreport'/ "))</f>
        <v/>
      </c>
      <c r="I44" s="15" t="str">
        <f>IF(UserInput!B43=0,"",UserInput!B43)</f>
        <v>SS_REF</v>
      </c>
      <c r="J44" s="15" t="str">
        <f>IF(UserInput!C43=0,"","'"&amp;UserInput!C43&amp;"'")</f>
        <v>'Oil refinary'</v>
      </c>
      <c r="K44" s="15" t="str">
        <f>IF(I44="","",IF(UserInput!D43=UserInput!D44,"","/ ;"))</f>
        <v/>
      </c>
      <c r="M44">
        <f t="shared" si="6"/>
        <v>38</v>
      </c>
      <c r="N44" s="13" t="str">
        <f>_xlfn.CONCAT(H44:I44)&amp;" "&amp;_xlfn.CONCAT(J44:K44)</f>
        <v>SS_REF 'Oil refinary'</v>
      </c>
      <c r="O44" t="str">
        <f t="shared" si="4"/>
        <v>IMPNRGZ</v>
      </c>
      <c r="Q44" s="16"/>
      <c r="R44" s="15" t="str">
        <f>IF(UserInput!H43=0,"",IF(UserInput!H43=UserInput!H42,"","SET "&amp;UserInput!H43&amp;"TIMESreport '"&amp;UserInput!H43&amp;" TIMESreport'/ "))</f>
        <v/>
      </c>
      <c r="S44" s="15" t="str">
        <f>IF(UserInput!F43=0,"",UserInput!F43)</f>
        <v/>
      </c>
      <c r="T44" s="15" t="str">
        <f>IF(UserInput!G43=0,"","'"&amp;UserInput!G43&amp;"'")</f>
        <v/>
      </c>
      <c r="U44" s="15" t="str">
        <f>IF(S44="","",IF(UserInput!H43=UserInput!H44,"","/ ;"))</f>
        <v/>
      </c>
      <c r="W44" t="str">
        <f t="shared" si="7"/>
        <v/>
      </c>
      <c r="X44" t="str">
        <f t="shared" si="0"/>
        <v xml:space="preserve"> </v>
      </c>
      <c r="Y44" t="str">
        <f t="shared" si="5"/>
        <v/>
      </c>
    </row>
    <row r="45" spans="1:25" x14ac:dyDescent="0.4">
      <c r="A45" s="16"/>
      <c r="B45" t="str">
        <f t="shared" si="1"/>
        <v>PRC_GMAP</v>
      </c>
      <c r="C45" t="str">
        <f>IF(UserInput!B44=0,"",UserInput!B44)</f>
        <v>SS_RES</v>
      </c>
      <c r="D45">
        <f t="shared" si="2"/>
        <v>1</v>
      </c>
      <c r="E45" t="str">
        <f>IF(UserInput!B44=0,"",UserInput!B44)</f>
        <v>SS_RES</v>
      </c>
      <c r="G45" s="16"/>
      <c r="H45" s="15" t="str">
        <f>IF(UserInput!D44="","",IF(UserInput!D44=UserInput!D43,"","SET "&amp;UserInput!D44&amp;"TIMESreport '"&amp;UserInput!D44&amp;" TIMESreport'/ "))</f>
        <v/>
      </c>
      <c r="I45" s="15" t="str">
        <f>IF(UserInput!B44=0,"",UserInput!B44)</f>
        <v>SS_RES</v>
      </c>
      <c r="J45" s="15" t="str">
        <f>IF(UserInput!C44=0,"","'"&amp;UserInput!C44&amp;"'")</f>
        <v>'Residential'</v>
      </c>
      <c r="K45" s="15" t="str">
        <f>IF(I45="","",IF(UserInput!D44=UserInput!D45,"","/ ;"))</f>
        <v/>
      </c>
      <c r="M45">
        <f t="shared" si="6"/>
        <v>39</v>
      </c>
      <c r="N45" s="13" t="str">
        <f t="shared" si="3"/>
        <v>SS_RES 'Residential'</v>
      </c>
      <c r="O45" t="str">
        <f t="shared" si="4"/>
        <v>IMPNRGZ</v>
      </c>
      <c r="Q45" s="16"/>
      <c r="R45" s="15" t="str">
        <f>IF(UserInput!H44=0,"",IF(UserInput!H44=UserInput!H43,"","SET "&amp;UserInput!H44&amp;"TIMESreport '"&amp;UserInput!H44&amp;" TIMESreport'/ "))</f>
        <v/>
      </c>
      <c r="S45" s="15" t="str">
        <f>IF(UserInput!F44=0,"",UserInput!F44)</f>
        <v/>
      </c>
      <c r="T45" s="15" t="str">
        <f>IF(UserInput!G44=0,"","'"&amp;UserInput!G44&amp;"'")</f>
        <v/>
      </c>
      <c r="U45" s="15" t="str">
        <f>IF(S45="","",IF(UserInput!H44=UserInput!H45,"","/ ;"))</f>
        <v/>
      </c>
      <c r="W45" t="str">
        <f t="shared" si="7"/>
        <v/>
      </c>
      <c r="X45" t="str">
        <f t="shared" si="0"/>
        <v xml:space="preserve"> </v>
      </c>
      <c r="Y45" t="str">
        <f t="shared" si="5"/>
        <v/>
      </c>
    </row>
    <row r="46" spans="1:25" x14ac:dyDescent="0.4">
      <c r="A46" s="16"/>
      <c r="B46" t="str">
        <f t="shared" si="1"/>
        <v>PRC_GMAP</v>
      </c>
      <c r="C46" t="str">
        <f>IF(UserInput!B45=0,"",UserInput!B45)</f>
        <v>SS_REW</v>
      </c>
      <c r="D46">
        <f t="shared" si="2"/>
        <v>1</v>
      </c>
      <c r="E46" t="str">
        <f>IF(UserInput!B45=0,"",UserInput!B45)</f>
        <v>SS_REW</v>
      </c>
      <c r="G46" s="16"/>
      <c r="H46" s="15" t="str">
        <f>IF(UserInput!D45="","",IF(UserInput!D45=UserInput!D44,"","SET "&amp;UserInput!D45&amp;"TIMESreport '"&amp;UserInput!D45&amp;" TIMESreport'/ "))</f>
        <v/>
      </c>
      <c r="I46" s="15" t="str">
        <f>IF(UserInput!B45=0,"",UserInput!B45)</f>
        <v>SS_REW</v>
      </c>
      <c r="J46" s="15" t="str">
        <f>IF(UserInput!C45=0,"","'"&amp;UserInput!C45&amp;"'")</f>
        <v>'Renewable energy supply'</v>
      </c>
      <c r="K46" s="15" t="str">
        <f>IF(I46="","",IF(UserInput!D45=UserInput!D46,"","/ ;"))</f>
        <v/>
      </c>
      <c r="M46">
        <f t="shared" si="6"/>
        <v>40</v>
      </c>
      <c r="N46" s="13" t="str">
        <f t="shared" si="3"/>
        <v>SS_REW 'Renewable energy supply'</v>
      </c>
      <c r="O46" t="str">
        <f t="shared" si="4"/>
        <v>IMPNRGZ</v>
      </c>
      <c r="Q46" s="16"/>
      <c r="R46" s="15" t="str">
        <f>IF(UserInput!H45=0,"",IF(UserInput!H45=UserInput!H44,"","SET "&amp;UserInput!H45&amp;"TIMESreport '"&amp;UserInput!H45&amp;" TIMESreport'/ "))</f>
        <v/>
      </c>
      <c r="S46" s="15" t="str">
        <f>IF(UserInput!F45=0,"",UserInput!F45)</f>
        <v/>
      </c>
      <c r="T46" s="15" t="str">
        <f>IF(UserInput!G45=0,"","'"&amp;UserInput!G45&amp;"'")</f>
        <v/>
      </c>
      <c r="U46" s="15" t="str">
        <f>IF(S46="","",IF(UserInput!H45=UserInput!H46,"","/ ;"))</f>
        <v/>
      </c>
      <c r="W46" t="str">
        <f t="shared" si="7"/>
        <v/>
      </c>
      <c r="X46" t="str">
        <f t="shared" si="0"/>
        <v xml:space="preserve"> </v>
      </c>
      <c r="Y46" t="str">
        <f t="shared" si="5"/>
        <v/>
      </c>
    </row>
    <row r="47" spans="1:25" x14ac:dyDescent="0.4">
      <c r="A47" s="16"/>
      <c r="B47" t="str">
        <f t="shared" si="1"/>
        <v>PRC_GMAP</v>
      </c>
      <c r="C47" t="str">
        <f>IF(UserInput!B46=0,"",UserInput!B46)</f>
        <v>SS_SIN</v>
      </c>
      <c r="D47">
        <f t="shared" si="2"/>
        <v>1</v>
      </c>
      <c r="E47" t="str">
        <f>IF(UserInput!B46=0,"",UserInput!B46)</f>
        <v>SS_SIN</v>
      </c>
      <c r="G47" s="16"/>
      <c r="H47" s="15" t="str">
        <f>IF(UserInput!D46="","",IF(UserInput!D46=UserInput!D45,"","SET "&amp;UserInput!D46&amp;"TIMESreport '"&amp;UserInput!D46&amp;" TIMESreport'/ "))</f>
        <v/>
      </c>
      <c r="I47" s="15" t="str">
        <f>IF(UserInput!B46=0,"",UserInput!B46)</f>
        <v>SS_SIN</v>
      </c>
      <c r="J47" s="15" t="str">
        <f>IF(UserInput!C46=0,"","'"&amp;UserInput!C46&amp;"'")</f>
        <v>'Industrial Sinter'</v>
      </c>
      <c r="K47" s="15" t="str">
        <f>IF(I47="","",IF(UserInput!D46=UserInput!D47,"","/ ;"))</f>
        <v/>
      </c>
      <c r="M47">
        <f t="shared" si="6"/>
        <v>41</v>
      </c>
      <c r="N47" s="13" t="str">
        <f t="shared" si="3"/>
        <v>SS_SIN 'Industrial Sinter'</v>
      </c>
      <c r="O47" t="str">
        <f t="shared" si="4"/>
        <v>IMPNRGZ</v>
      </c>
      <c r="Q47" s="16"/>
      <c r="R47" s="15" t="str">
        <f>IF(UserInput!H46=0,"",IF(UserInput!H46=UserInput!H45,"","SET "&amp;UserInput!H46&amp;"TIMESreport '"&amp;UserInput!H46&amp;" TIMESreport'/ "))</f>
        <v/>
      </c>
      <c r="S47" s="15" t="str">
        <f>IF(UserInput!F46=0,"",UserInput!F46)</f>
        <v/>
      </c>
      <c r="T47" s="15" t="str">
        <f>IF(UserInput!G46=0,"","'"&amp;UserInput!G46&amp;"'")</f>
        <v/>
      </c>
      <c r="U47" s="15" t="str">
        <f>IF(S47="","",IF(UserInput!H46=UserInput!H47,"","/ ;"))</f>
        <v/>
      </c>
      <c r="W47" t="str">
        <f t="shared" si="7"/>
        <v/>
      </c>
      <c r="X47" t="str">
        <f t="shared" si="0"/>
        <v xml:space="preserve"> </v>
      </c>
      <c r="Y47" t="str">
        <f t="shared" si="5"/>
        <v/>
      </c>
    </row>
    <row r="48" spans="1:25" x14ac:dyDescent="0.4">
      <c r="A48" s="16"/>
      <c r="B48" t="str">
        <f t="shared" si="1"/>
        <v>PRC_GMAP</v>
      </c>
      <c r="C48" t="str">
        <f>IF(UserInput!B47=0,"",UserInput!B47)</f>
        <v>SS_STE</v>
      </c>
      <c r="D48">
        <f t="shared" si="2"/>
        <v>1</v>
      </c>
      <c r="E48" t="str">
        <f>IF(UserInput!B47=0,"",UserInput!B47)</f>
        <v>SS_STE</v>
      </c>
      <c r="G48" s="16"/>
      <c r="H48" s="15" t="str">
        <f>IF(UserInput!D47="","",IF(UserInput!D47=UserInput!D46,"","SET "&amp;UserInput!D47&amp;"TIMESreport '"&amp;UserInput!D47&amp;" TIMESreport'/ "))</f>
        <v/>
      </c>
      <c r="I48" s="15" t="str">
        <f>IF(UserInput!B47=0,"",UserInput!B47)</f>
        <v>SS_STE</v>
      </c>
      <c r="J48" s="15" t="str">
        <f>IF(UserInput!C47=0,"","'"&amp;UserInput!C47&amp;"'")</f>
        <v>'Industrial Steel'</v>
      </c>
      <c r="K48" s="15" t="str">
        <f>IF(I48="","",IF(UserInput!D47=UserInput!D48,"","/ ;"))</f>
        <v/>
      </c>
      <c r="M48">
        <f t="shared" si="6"/>
        <v>42</v>
      </c>
      <c r="N48" s="13" t="str">
        <f t="shared" si="3"/>
        <v>SS_STE 'Industrial Steel'</v>
      </c>
      <c r="O48" t="str">
        <f t="shared" si="4"/>
        <v>IMPNRGZ</v>
      </c>
      <c r="Q48" s="16"/>
      <c r="R48" s="15" t="str">
        <f>IF(UserInput!H47=0,"",IF(UserInput!H47=UserInput!H46,"","SET "&amp;UserInput!H47&amp;"TIMESreport '"&amp;UserInput!H47&amp;" TIMESreport'/ "))</f>
        <v/>
      </c>
      <c r="S48" s="15" t="str">
        <f>IF(UserInput!F47=0,"",UserInput!F47)</f>
        <v/>
      </c>
      <c r="T48" s="15" t="str">
        <f>IF(UserInput!G47=0,"","'"&amp;UserInput!G47&amp;"'")</f>
        <v/>
      </c>
      <c r="U48" s="15" t="str">
        <f>IF(S48="","",IF(UserInput!H47=UserInput!H48,"","/ ;"))</f>
        <v/>
      </c>
      <c r="W48" t="str">
        <f t="shared" si="7"/>
        <v/>
      </c>
      <c r="X48" t="str">
        <f t="shared" si="0"/>
        <v xml:space="preserve"> </v>
      </c>
      <c r="Y48" t="str">
        <f t="shared" si="5"/>
        <v/>
      </c>
    </row>
    <row r="49" spans="1:25" x14ac:dyDescent="0.4">
      <c r="A49" s="16"/>
      <c r="B49" t="str">
        <f t="shared" si="1"/>
        <v>PRC_GMAP</v>
      </c>
      <c r="C49" t="str">
        <f>IF(UserInput!B48=0,"",UserInput!B48)</f>
        <v>SS_TRC</v>
      </c>
      <c r="D49">
        <f t="shared" si="2"/>
        <v>1</v>
      </c>
      <c r="E49" t="str">
        <f>IF(UserInput!B48=0,"",UserInput!B48)</f>
        <v>SS_TRC</v>
      </c>
      <c r="G49" s="16"/>
      <c r="H49" s="15" t="str">
        <f>IF(UserInput!D48="","",IF(UserInput!D48=UserInput!D47,"","SET "&amp;UserInput!D48&amp;"TIMESreport '"&amp;UserInput!D48&amp;" TIMESreport'/ "))</f>
        <v/>
      </c>
      <c r="I49" s="15" t="str">
        <f>IF(UserInput!B48=0,"",UserInput!B48)</f>
        <v>SS_TRC</v>
      </c>
      <c r="J49" s="15" t="str">
        <f>IF(UserInput!C48=0,"","'"&amp;UserInput!C48&amp;"'")</f>
        <v>'Private transport'</v>
      </c>
      <c r="K49" s="15" t="str">
        <f>IF(I49="","",IF(UserInput!D48=UserInput!D49,"","/ ;"))</f>
        <v/>
      </c>
      <c r="M49">
        <f t="shared" si="6"/>
        <v>43</v>
      </c>
      <c r="N49" s="13" t="str">
        <f t="shared" si="3"/>
        <v>SS_TRC 'Private transport'</v>
      </c>
      <c r="O49" t="str">
        <f t="shared" si="4"/>
        <v>IMPNRGZ</v>
      </c>
      <c r="Q49" s="16"/>
      <c r="R49" s="15" t="str">
        <f>IF(UserInput!H48=0,"",IF(UserInput!H48=UserInput!H47,"","SET "&amp;UserInput!H48&amp;"TIMESreport '"&amp;UserInput!H48&amp;" TIMESreport'/ "))</f>
        <v/>
      </c>
      <c r="S49" s="15" t="str">
        <f>IF(UserInput!F48=0,"",UserInput!F48)</f>
        <v/>
      </c>
      <c r="T49" s="15" t="str">
        <f>IF(UserInput!G48=0,"","'"&amp;UserInput!G48&amp;"'")</f>
        <v/>
      </c>
      <c r="U49" s="15" t="str">
        <f>IF(S49="","",IF(UserInput!H48=UserInput!H49,"","/ ;"))</f>
        <v/>
      </c>
      <c r="W49" t="str">
        <f t="shared" si="7"/>
        <v/>
      </c>
      <c r="X49" t="str">
        <f t="shared" si="0"/>
        <v xml:space="preserve"> </v>
      </c>
      <c r="Y49" t="str">
        <f t="shared" si="5"/>
        <v/>
      </c>
    </row>
    <row r="50" spans="1:25" x14ac:dyDescent="0.4">
      <c r="A50" s="16"/>
      <c r="B50" t="str">
        <f t="shared" si="1"/>
        <v>PRC_GMAP</v>
      </c>
      <c r="C50" t="str">
        <f>IF(UserInput!B49=0,"",UserInput!B49)</f>
        <v>SS_TRME</v>
      </c>
      <c r="D50">
        <f t="shared" si="2"/>
        <v>1</v>
      </c>
      <c r="E50" t="str">
        <f>IF(UserInput!B49=0,"",UserInput!B49)</f>
        <v>SS_TRME</v>
      </c>
      <c r="G50" s="16"/>
      <c r="H50" s="15" t="str">
        <f>IF(UserInput!D49="","",IF(UserInput!D49=UserInput!D48,"","SET "&amp;UserInput!D49&amp;"TIMESreport '"&amp;UserInput!D49&amp;" TIMESreport'/ "))</f>
        <v/>
      </c>
      <c r="I50" s="15" t="str">
        <f>IF(UserInput!B49=0,"",UserInput!B49)</f>
        <v>SS_TRME</v>
      </c>
      <c r="J50" s="15" t="str">
        <f>IF(UserInput!C49=0,"","'"&amp;UserInput!C49&amp;"'")</f>
        <v>'Electricity transmission'</v>
      </c>
      <c r="K50" s="15" t="str">
        <f>IF(I50="","",IF(UserInput!D49=UserInput!D50,"","/ ;"))</f>
        <v/>
      </c>
      <c r="M50">
        <f t="shared" si="6"/>
        <v>44</v>
      </c>
      <c r="N50" s="13" t="str">
        <f t="shared" si="3"/>
        <v>SS_TRME 'Electricity transmission'</v>
      </c>
      <c r="O50" t="str">
        <f t="shared" si="4"/>
        <v>IMPNRGZ</v>
      </c>
      <c r="Q50" s="16"/>
      <c r="R50" s="15" t="str">
        <f>IF(UserInput!H49=0,"",IF(UserInput!H49=UserInput!H48,"","SET "&amp;UserInput!H49&amp;"TIMESreport '"&amp;UserInput!H49&amp;" TIMESreport'/ "))</f>
        <v/>
      </c>
      <c r="S50" s="15" t="str">
        <f>IF(UserInput!F49=0,"",UserInput!F49)</f>
        <v/>
      </c>
      <c r="T50" s="15" t="str">
        <f>IF(UserInput!G49=0,"","'"&amp;UserInput!G49&amp;"'")</f>
        <v/>
      </c>
      <c r="U50" s="15" t="str">
        <f>IF(S50="","",IF(UserInput!H49=UserInput!H50,"","/ ;"))</f>
        <v/>
      </c>
      <c r="W50" t="str">
        <f t="shared" si="7"/>
        <v/>
      </c>
      <c r="X50" t="str">
        <f t="shared" si="0"/>
        <v xml:space="preserve"> </v>
      </c>
      <c r="Y50" t="str">
        <f t="shared" si="5"/>
        <v/>
      </c>
    </row>
    <row r="51" spans="1:25" x14ac:dyDescent="0.4">
      <c r="A51" s="16"/>
      <c r="B51" t="str">
        <f t="shared" si="1"/>
        <v>PRC_GMAP</v>
      </c>
      <c r="C51" t="str">
        <f>IF(UserInput!B50=0,"",UserInput!B50)</f>
        <v>SS_TRMG</v>
      </c>
      <c r="D51">
        <f t="shared" si="2"/>
        <v>1</v>
      </c>
      <c r="E51" t="str">
        <f>IF(UserInput!B50=0,"",UserInput!B50)</f>
        <v>SS_TRMG</v>
      </c>
      <c r="G51" s="16"/>
      <c r="H51" s="15" t="str">
        <f>IF(UserInput!D50="","",IF(UserInput!D50=UserInput!D49,"","SET "&amp;UserInput!D50&amp;"TIMESreport '"&amp;UserInput!D50&amp;" TIMESreport'/ "))</f>
        <v/>
      </c>
      <c r="I51" s="15" t="str">
        <f>IF(UserInput!B50=0,"",UserInput!B50)</f>
        <v>SS_TRMG</v>
      </c>
      <c r="J51" s="15" t="str">
        <f>IF(UserInput!C50=0,"","'"&amp;UserInput!C50&amp;"'")</f>
        <v>'Gas transmission'</v>
      </c>
      <c r="K51" s="15" t="str">
        <f>IF(I51="","",IF(UserInput!D50=UserInput!D51,"","/ ;"))</f>
        <v/>
      </c>
      <c r="M51">
        <f t="shared" si="6"/>
        <v>45</v>
      </c>
      <c r="N51" s="13" t="str">
        <f t="shared" si="3"/>
        <v>SS_TRMG 'Gas transmission'</v>
      </c>
      <c r="O51" t="str">
        <f t="shared" si="4"/>
        <v>IMPNRGZ</v>
      </c>
      <c r="Q51" s="16"/>
      <c r="R51" s="15" t="str">
        <f>IF(UserInput!H50=0,"",IF(UserInput!H50=UserInput!H49,"","SET "&amp;UserInput!H50&amp;"TIMESreport '"&amp;UserInput!H50&amp;" TIMESreport'/ "))</f>
        <v/>
      </c>
      <c r="S51" s="15" t="str">
        <f>IF(UserInput!F50=0,"",UserInput!F50)</f>
        <v/>
      </c>
      <c r="T51" s="15" t="str">
        <f>IF(UserInput!G50=0,"","'"&amp;UserInput!G50&amp;"'")</f>
        <v/>
      </c>
      <c r="U51" s="15" t="str">
        <f>IF(S51="","",IF(UserInput!H50=UserInput!H51,"","/ ;"))</f>
        <v/>
      </c>
      <c r="W51" t="str">
        <f t="shared" si="7"/>
        <v/>
      </c>
      <c r="X51" t="str">
        <f t="shared" si="0"/>
        <v xml:space="preserve"> </v>
      </c>
      <c r="Y51" t="str">
        <f t="shared" si="5"/>
        <v/>
      </c>
    </row>
    <row r="52" spans="1:25" x14ac:dyDescent="0.4">
      <c r="A52" s="16"/>
      <c r="B52" t="str">
        <f t="shared" si="1"/>
        <v>PRC_GMAP</v>
      </c>
      <c r="C52" t="str">
        <f>IF(UserInput!B51=0,"",UserInput!B51)</f>
        <v>SS_TRP</v>
      </c>
      <c r="D52">
        <f t="shared" si="2"/>
        <v>1</v>
      </c>
      <c r="E52" t="str">
        <f>IF(UserInput!B51=0,"",UserInput!B51)</f>
        <v>SS_TRP</v>
      </c>
      <c r="G52" s="16"/>
      <c r="H52" s="15" t="str">
        <f>IF(UserInput!D51="","",IF(UserInput!D51=UserInput!D50,"","SET "&amp;UserInput!D51&amp;"TIMESreport '"&amp;UserInput!D51&amp;" TIMESreport'/ "))</f>
        <v/>
      </c>
      <c r="I52" s="15" t="str">
        <f>IF(UserInput!B51=0,"",UserInput!B51)</f>
        <v>SS_TRP</v>
      </c>
      <c r="J52" s="15" t="str">
        <f>IF(UserInput!C51=0,"","'"&amp;UserInput!C51&amp;"'")</f>
        <v>'Public transport'</v>
      </c>
      <c r="K52" s="15" t="str">
        <f>IF(I52="","",IF(UserInput!D51=UserInput!D52,"","/ ;"))</f>
        <v>/ ;</v>
      </c>
      <c r="M52">
        <f t="shared" si="6"/>
        <v>46</v>
      </c>
      <c r="N52" s="13" t="str">
        <f t="shared" si="3"/>
        <v>SS_TRP 'Public transport'/ ;</v>
      </c>
      <c r="O52" t="str">
        <f t="shared" si="4"/>
        <v>IMPNRGZ</v>
      </c>
      <c r="Q52" s="16"/>
      <c r="R52" s="15" t="str">
        <f>IF(UserInput!H51=0,"",IF(UserInput!H51=UserInput!H50,"","SET "&amp;UserInput!H51&amp;"TIMESreport '"&amp;UserInput!H51&amp;" TIMESreport'/ "))</f>
        <v/>
      </c>
      <c r="S52" s="15" t="str">
        <f>IF(UserInput!F51=0,"",UserInput!F51)</f>
        <v/>
      </c>
      <c r="T52" s="15" t="str">
        <f>IF(UserInput!G51=0,"","'"&amp;UserInput!G51&amp;"'")</f>
        <v/>
      </c>
      <c r="U52" s="15" t="str">
        <f>IF(S52="","",IF(UserInput!H51=UserInput!H52,"","/ ;"))</f>
        <v/>
      </c>
      <c r="W52" t="str">
        <f t="shared" si="7"/>
        <v/>
      </c>
      <c r="X52" t="str">
        <f t="shared" si="0"/>
        <v xml:space="preserve"> </v>
      </c>
      <c r="Y52" t="str">
        <f t="shared" si="5"/>
        <v/>
      </c>
    </row>
    <row r="53" spans="1:25" x14ac:dyDescent="0.4">
      <c r="A53" s="16"/>
      <c r="B53" t="str">
        <f t="shared" si="1"/>
        <v>PRC_GMAP</v>
      </c>
      <c r="C53" t="str">
        <f>IF(UserInput!B52=0,"",UserInput!B52)</f>
        <v>TG_BIO</v>
      </c>
      <c r="D53">
        <f t="shared" si="2"/>
        <v>1</v>
      </c>
      <c r="E53" t="str">
        <f>IF(UserInput!B52=0,"",UserInput!B52)</f>
        <v>TG_BIO</v>
      </c>
      <c r="G53" s="16"/>
      <c r="H53" s="15" t="str">
        <f>IF(UserInput!D52="","",IF(UserInput!D52=UserInput!D51,"","SET "&amp;UserInput!D52&amp;"TIMESreport '"&amp;UserInput!D52&amp;" TIMESreport'/ "))</f>
        <v xml:space="preserve">SET techgroupTIMESreport 'techgroup TIMESreport'/ </v>
      </c>
      <c r="I53" s="15" t="str">
        <f>IF(UserInput!B52=0,"",UserInput!B52)</f>
        <v>TG_BIO</v>
      </c>
      <c r="J53" s="15" t="str">
        <f>IF(UserInput!C52=0,"","'"&amp;UserInput!C52&amp;"'")</f>
        <v>'Biomass'</v>
      </c>
      <c r="K53" s="15" t="str">
        <f>IF(I53="","",IF(UserInput!D52=UserInput!D53,"","/ ;"))</f>
        <v/>
      </c>
      <c r="M53">
        <f t="shared" si="6"/>
        <v>47</v>
      </c>
      <c r="N53" s="13" t="str">
        <f t="shared" si="3"/>
        <v>SET techgroupTIMESreport 'techgroup TIMESreport'/ TG_BIO 'Biomass'</v>
      </c>
      <c r="O53" t="str">
        <f t="shared" si="4"/>
        <v>IMPNRGZ</v>
      </c>
      <c r="Q53" s="16"/>
      <c r="R53" s="15" t="str">
        <f>IF(UserInput!H52=0,"",IF(UserInput!H52=UserInput!H51,"","SET "&amp;UserInput!H52&amp;"TIMESreport '"&amp;UserInput!H52&amp;" TIMESreport'/ "))</f>
        <v/>
      </c>
      <c r="S53" s="15" t="str">
        <f>IF(UserInput!F52=0,"",UserInput!F52)</f>
        <v/>
      </c>
      <c r="T53" s="15" t="str">
        <f>IF(UserInput!G52=0,"","'"&amp;UserInput!G52&amp;"'")</f>
        <v/>
      </c>
      <c r="U53" s="15" t="str">
        <f>IF(S53="","",IF(UserInput!H52=UserInput!H53,"","/ ;"))</f>
        <v/>
      </c>
      <c r="W53" t="str">
        <f t="shared" si="7"/>
        <v/>
      </c>
      <c r="X53" t="str">
        <f t="shared" si="0"/>
        <v xml:space="preserve"> </v>
      </c>
      <c r="Y53" t="str">
        <f t="shared" si="5"/>
        <v/>
      </c>
    </row>
    <row r="54" spans="1:25" x14ac:dyDescent="0.4">
      <c r="A54" s="16"/>
      <c r="B54" t="str">
        <f t="shared" si="1"/>
        <v>PRC_GMAP</v>
      </c>
      <c r="C54" t="str">
        <f>IF(UserInput!B53=0,"",UserInput!B53)</f>
        <v>TG_ELC</v>
      </c>
      <c r="D54">
        <f t="shared" si="2"/>
        <v>1</v>
      </c>
      <c r="E54" t="str">
        <f>IF(UserInput!B53=0,"",UserInput!B53)</f>
        <v>TG_ELC</v>
      </c>
      <c r="G54" s="16"/>
      <c r="H54" s="15" t="str">
        <f>IF(UserInput!D53="","",IF(UserInput!D53=UserInput!D52,"","SET "&amp;UserInput!D53&amp;"TIMESreport '"&amp;UserInput!D53&amp;" TIMESreport'/ "))</f>
        <v/>
      </c>
      <c r="I54" s="15" t="str">
        <f>IF(UserInput!B53=0,"",UserInput!B53)</f>
        <v>TG_ELC</v>
      </c>
      <c r="J54" s="15" t="str">
        <f>IF(UserInput!C53=0,"","'"&amp;UserInput!C53&amp;"'")</f>
        <v>'Electricity'</v>
      </c>
      <c r="K54" s="15" t="str">
        <f>IF(I54="","",IF(UserInput!D53=UserInput!D54,"","/ ;"))</f>
        <v/>
      </c>
      <c r="M54">
        <f t="shared" si="6"/>
        <v>48</v>
      </c>
      <c r="N54" s="13" t="str">
        <f t="shared" si="3"/>
        <v>TG_ELC 'Electricity'</v>
      </c>
      <c r="O54" t="str">
        <f t="shared" si="4"/>
        <v>IMPNRGZ</v>
      </c>
      <c r="Q54" s="16"/>
      <c r="R54" s="15" t="str">
        <f>IF(UserInput!H53=0,"",IF(UserInput!H53=UserInput!H52,"","SET "&amp;UserInput!H53&amp;"TIMESreport '"&amp;UserInput!H53&amp;" TIMESreport'/ "))</f>
        <v/>
      </c>
      <c r="S54" s="15" t="str">
        <f>IF(UserInput!F53=0,"",UserInput!F53)</f>
        <v/>
      </c>
      <c r="T54" s="15" t="str">
        <f>IF(UserInput!G53=0,"","'"&amp;UserInput!G53&amp;"'")</f>
        <v/>
      </c>
      <c r="U54" s="15" t="str">
        <f>IF(S54="","",IF(UserInput!H53=UserInput!H54,"","/ ;"))</f>
        <v/>
      </c>
      <c r="W54" t="str">
        <f t="shared" si="7"/>
        <v/>
      </c>
      <c r="X54" t="str">
        <f t="shared" si="0"/>
        <v xml:space="preserve"> </v>
      </c>
      <c r="Y54" t="str">
        <f t="shared" si="5"/>
        <v/>
      </c>
    </row>
    <row r="55" spans="1:25" x14ac:dyDescent="0.4">
      <c r="A55" s="16"/>
      <c r="B55" t="str">
        <f t="shared" si="1"/>
        <v>PRC_GMAP</v>
      </c>
      <c r="C55" t="str">
        <f>IF(UserInput!B54=0,"",UserInput!B54)</f>
        <v>TG_GAS</v>
      </c>
      <c r="D55">
        <f t="shared" si="2"/>
        <v>1</v>
      </c>
      <c r="E55" t="str">
        <f>IF(UserInput!B54=0,"",UserInput!B54)</f>
        <v>TG_GAS</v>
      </c>
      <c r="G55" s="16"/>
      <c r="H55" s="15" t="str">
        <f>IF(UserInput!D54="","",IF(UserInput!D54=UserInput!D53,"","SET "&amp;UserInput!D54&amp;"TIMESreport '"&amp;UserInput!D54&amp;" TIMESreport'/ "))</f>
        <v/>
      </c>
      <c r="I55" s="15" t="str">
        <f>IF(UserInput!B54=0,"",UserInput!B54)</f>
        <v>TG_GAS</v>
      </c>
      <c r="J55" s="15" t="str">
        <f>IF(UserInput!C54=0,"","'"&amp;UserInput!C54&amp;"'")</f>
        <v>'Gas'</v>
      </c>
      <c r="K55" s="15" t="str">
        <f>IF(I55="","",IF(UserInput!D54=UserInput!D55,"","/ ;"))</f>
        <v/>
      </c>
      <c r="M55">
        <f t="shared" si="6"/>
        <v>49</v>
      </c>
      <c r="N55" s="13" t="str">
        <f t="shared" si="3"/>
        <v>TG_GAS 'Gas'</v>
      </c>
      <c r="O55" t="str">
        <f t="shared" si="4"/>
        <v>IMPNRGZ</v>
      </c>
      <c r="Q55" s="16"/>
      <c r="R55" s="15" t="str">
        <f>IF(UserInput!H54=0,"",IF(UserInput!H54=UserInput!H53,"","SET "&amp;UserInput!H54&amp;"TIMESreport '"&amp;UserInput!H54&amp;" TIMESreport'/ "))</f>
        <v/>
      </c>
      <c r="S55" s="15" t="str">
        <f>IF(UserInput!F54=0,"",UserInput!F54)</f>
        <v/>
      </c>
      <c r="T55" s="15" t="str">
        <f>IF(UserInput!G54=0,"","'"&amp;UserInput!G54&amp;"'")</f>
        <v/>
      </c>
      <c r="U55" s="15" t="str">
        <f>IF(S55="","",IF(UserInput!H54=UserInput!H55,"","/ ;"))</f>
        <v/>
      </c>
      <c r="W55" t="str">
        <f t="shared" si="7"/>
        <v/>
      </c>
      <c r="X55" t="str">
        <f t="shared" si="0"/>
        <v xml:space="preserve"> </v>
      </c>
      <c r="Y55" t="str">
        <f t="shared" si="5"/>
        <v/>
      </c>
    </row>
    <row r="56" spans="1:25" x14ac:dyDescent="0.4">
      <c r="A56" s="16"/>
      <c r="B56" t="str">
        <f t="shared" si="1"/>
        <v>PRC_GMAP</v>
      </c>
      <c r="C56" t="str">
        <f>IF(UserInput!B55=0,"",UserInput!B55)</f>
        <v>TG_NUC</v>
      </c>
      <c r="D56">
        <f t="shared" si="2"/>
        <v>1</v>
      </c>
      <c r="E56" t="str">
        <f>IF(UserInput!B55=0,"",UserInput!B55)</f>
        <v>TG_NUC</v>
      </c>
      <c r="G56" s="16"/>
      <c r="H56" s="15" t="str">
        <f>IF(UserInput!D55="","",IF(UserInput!D55=UserInput!D54,"","SET "&amp;UserInput!D55&amp;"TIMESreport '"&amp;UserInput!D55&amp;" TIMESreport'/ "))</f>
        <v/>
      </c>
      <c r="I56" s="15" t="str">
        <f>IF(UserInput!B55=0,"",UserInput!B55)</f>
        <v>TG_NUC</v>
      </c>
      <c r="J56" s="15" t="str">
        <f>IF(UserInput!C55=0,"","'"&amp;UserInput!C55&amp;"'")</f>
        <v>'Nuclear'</v>
      </c>
      <c r="K56" s="15" t="str">
        <f>IF(I56="","",IF(UserInput!D55=UserInput!D56,"","/ ;"))</f>
        <v/>
      </c>
      <c r="M56">
        <f t="shared" si="6"/>
        <v>50</v>
      </c>
      <c r="N56" s="13" t="str">
        <f t="shared" si="3"/>
        <v>TG_NUC 'Nuclear'</v>
      </c>
      <c r="O56" t="str">
        <f t="shared" si="4"/>
        <v>IMPNRGZ</v>
      </c>
      <c r="Q56" s="16"/>
      <c r="R56" s="15" t="str">
        <f>IF(UserInput!H55=0,"",IF(UserInput!H55=UserInput!H54,"","SET "&amp;UserInput!H55&amp;"TIMESreport '"&amp;UserInput!H55&amp;" TIMESreport'/ "))</f>
        <v/>
      </c>
      <c r="S56" s="15" t="str">
        <f>IF(UserInput!F55=0,"",UserInput!F55)</f>
        <v/>
      </c>
      <c r="T56" s="15" t="str">
        <f>IF(UserInput!G55=0,"","'"&amp;UserInput!G55&amp;"'")</f>
        <v/>
      </c>
      <c r="U56" s="15" t="str">
        <f>IF(S56="","",IF(UserInput!H55=UserInput!H56,"","/ ;"))</f>
        <v/>
      </c>
      <c r="W56" t="str">
        <f t="shared" si="7"/>
        <v/>
      </c>
      <c r="X56" t="str">
        <f t="shared" si="0"/>
        <v xml:space="preserve"> </v>
      </c>
      <c r="Y56" t="str">
        <f t="shared" si="5"/>
        <v/>
      </c>
    </row>
    <row r="57" spans="1:25" x14ac:dyDescent="0.4">
      <c r="A57" s="16"/>
      <c r="B57" t="str">
        <f t="shared" si="1"/>
        <v>PRC_GMAP</v>
      </c>
      <c r="C57" t="str">
        <f>IF(UserInput!B56=0,"",UserInput!B56)</f>
        <v>TG_OIL</v>
      </c>
      <c r="D57">
        <f t="shared" si="2"/>
        <v>1</v>
      </c>
      <c r="E57" t="str">
        <f>IF(UserInput!B56=0,"",UserInput!B56)</f>
        <v>TG_OIL</v>
      </c>
      <c r="G57" s="16"/>
      <c r="H57" s="15" t="str">
        <f>IF(UserInput!D56="","",IF(UserInput!D56=UserInput!D55,"","SET "&amp;UserInput!D56&amp;"TIMESreport '"&amp;UserInput!D56&amp;" TIMESreport'/ "))</f>
        <v/>
      </c>
      <c r="I57" s="15" t="str">
        <f>IF(UserInput!B56=0,"",UserInput!B56)</f>
        <v>TG_OIL</v>
      </c>
      <c r="J57" s="15" t="str">
        <f>IF(UserInput!C56=0,"","'"&amp;UserInput!C56&amp;"'")</f>
        <v>'Oil'</v>
      </c>
      <c r="K57" s="15" t="str">
        <f>IF(I57="","",IF(UserInput!D56=UserInput!D57,"","/ ;"))</f>
        <v/>
      </c>
      <c r="M57">
        <f t="shared" si="6"/>
        <v>51</v>
      </c>
      <c r="N57" s="13" t="str">
        <f t="shared" si="3"/>
        <v>TG_OIL 'Oil'</v>
      </c>
      <c r="O57" t="str">
        <f t="shared" si="4"/>
        <v>IMPNRGZ</v>
      </c>
      <c r="Q57" s="16"/>
      <c r="R57" s="15" t="str">
        <f>IF(UserInput!H56=0,"",IF(UserInput!H56=UserInput!H55,"","SET "&amp;UserInput!H56&amp;"TIMESreport '"&amp;UserInput!H56&amp;" TIMESreport'/ "))</f>
        <v/>
      </c>
      <c r="S57" s="15" t="str">
        <f>IF(UserInput!F56=0,"",UserInput!F56)</f>
        <v/>
      </c>
      <c r="T57" s="15" t="str">
        <f>IF(UserInput!G56=0,"","'"&amp;UserInput!G56&amp;"'")</f>
        <v/>
      </c>
      <c r="U57" s="15" t="str">
        <f>IF(S57="","",IF(UserInput!H56=UserInput!H57,"","/ ;"))</f>
        <v/>
      </c>
      <c r="W57" t="str">
        <f t="shared" si="7"/>
        <v/>
      </c>
      <c r="X57" t="str">
        <f t="shared" si="0"/>
        <v xml:space="preserve"> </v>
      </c>
      <c r="Y57" t="str">
        <f t="shared" si="5"/>
        <v/>
      </c>
    </row>
    <row r="58" spans="1:25" x14ac:dyDescent="0.4">
      <c r="A58" s="16"/>
      <c r="B58" t="str">
        <f t="shared" si="1"/>
        <v>PRC_GMAP</v>
      </c>
      <c r="C58" t="str">
        <f>IF(UserInput!B57=0,"",UserInput!B57)</f>
        <v>TG_REW</v>
      </c>
      <c r="D58">
        <f t="shared" si="2"/>
        <v>1</v>
      </c>
      <c r="E58" t="str">
        <f>IF(UserInput!B57=0,"",UserInput!B57)</f>
        <v>TG_REW</v>
      </c>
      <c r="G58" s="16"/>
      <c r="H58" s="15" t="str">
        <f>IF(UserInput!D57="","",IF(UserInput!D57=UserInput!D56,"","SET "&amp;UserInput!D57&amp;"TIMESreport '"&amp;UserInput!D57&amp;" TIMESreport'/ "))</f>
        <v/>
      </c>
      <c r="I58" s="15" t="str">
        <f>IF(UserInput!B57=0,"",UserInput!B57)</f>
        <v>TG_REW</v>
      </c>
      <c r="J58" s="15" t="str">
        <f>IF(UserInput!C57=0,"","'"&amp;UserInput!C57&amp;"'")</f>
        <v>'Renewable'</v>
      </c>
      <c r="K58" s="15" t="str">
        <f>IF(I58="","",IF(UserInput!D57=UserInput!D58,"","/ ;"))</f>
        <v/>
      </c>
      <c r="M58">
        <f t="shared" si="6"/>
        <v>52</v>
      </c>
      <c r="N58" s="13" t="str">
        <f t="shared" si="3"/>
        <v>TG_REW 'Renewable'</v>
      </c>
      <c r="O58" t="str">
        <f t="shared" si="4"/>
        <v>IMPNRGZ</v>
      </c>
      <c r="Q58" s="16"/>
      <c r="R58" s="15" t="str">
        <f>IF(UserInput!H57=0,"",IF(UserInput!H57=UserInput!H56,"","SET "&amp;UserInput!H57&amp;"TIMESreport '"&amp;UserInput!H57&amp;" TIMESreport'/ "))</f>
        <v/>
      </c>
      <c r="S58" s="15" t="str">
        <f>IF(UserInput!F57=0,"",UserInput!F57)</f>
        <v/>
      </c>
      <c r="T58" s="15" t="str">
        <f>IF(UserInput!G57=0,"","'"&amp;UserInput!G57&amp;"'")</f>
        <v/>
      </c>
      <c r="U58" s="15" t="str">
        <f>IF(S58="","",IF(UserInput!H57=UserInput!H58,"","/ ;"))</f>
        <v/>
      </c>
      <c r="W58" t="str">
        <f t="shared" si="7"/>
        <v/>
      </c>
      <c r="X58" t="str">
        <f t="shared" si="0"/>
        <v xml:space="preserve"> </v>
      </c>
      <c r="Y58" t="str">
        <f t="shared" si="5"/>
        <v/>
      </c>
    </row>
    <row r="59" spans="1:25" x14ac:dyDescent="0.4">
      <c r="A59" s="16"/>
      <c r="B59" t="str">
        <f t="shared" si="1"/>
        <v>PRC_GMAP</v>
      </c>
      <c r="C59" t="str">
        <f>IF(UserInput!B58=0,"",UserInput!B58)</f>
        <v>TG_COA</v>
      </c>
      <c r="D59">
        <f t="shared" si="2"/>
        <v>1</v>
      </c>
      <c r="E59" t="str">
        <f>IF(UserInput!B58=0,"",UserInput!B58)</f>
        <v>TG_COA</v>
      </c>
      <c r="G59" s="16"/>
      <c r="H59" s="15" t="str">
        <f>IF(UserInput!D58="","",IF(UserInput!D58=UserInput!D57,"","SET "&amp;UserInput!D58&amp;"TIMESreport '"&amp;UserInput!D58&amp;" TIMESreport'/ "))</f>
        <v/>
      </c>
      <c r="I59" s="15" t="str">
        <f>IF(UserInput!B58=0,"",UserInput!B58)</f>
        <v>TG_COA</v>
      </c>
      <c r="J59" s="15" t="str">
        <f>IF(UserInput!C58=0,"","'"&amp;UserInput!C58&amp;"'")</f>
        <v>'Coal '</v>
      </c>
      <c r="K59" s="15" t="str">
        <f>IF(I59="","",IF(UserInput!D58=UserInput!D59,"","/ ;"))</f>
        <v/>
      </c>
      <c r="M59">
        <f t="shared" si="6"/>
        <v>53</v>
      </c>
      <c r="N59" s="13" t="str">
        <f t="shared" si="3"/>
        <v>TG_COA 'Coal '</v>
      </c>
      <c r="O59" t="str">
        <f t="shared" si="4"/>
        <v>IMPNRGZ</v>
      </c>
      <c r="Q59" s="16"/>
      <c r="R59" s="15" t="str">
        <f>IF(UserInput!H58=0,"",IF(UserInput!H58=UserInput!H57,"","SET "&amp;UserInput!H58&amp;"TIMESreport '"&amp;UserInput!H58&amp;" TIMESreport'/ "))</f>
        <v/>
      </c>
      <c r="S59" s="15" t="str">
        <f>IF(UserInput!F58=0,"",UserInput!F58)</f>
        <v/>
      </c>
      <c r="T59" s="15" t="str">
        <f>IF(UserInput!G58=0,"","'"&amp;UserInput!G58&amp;"'")</f>
        <v/>
      </c>
      <c r="U59" s="15" t="str">
        <f>IF(S59="","",IF(UserInput!H58=UserInput!H59,"","/ ;"))</f>
        <v/>
      </c>
      <c r="W59" t="str">
        <f t="shared" si="7"/>
        <v/>
      </c>
      <c r="X59" t="str">
        <f t="shared" si="0"/>
        <v xml:space="preserve"> </v>
      </c>
      <c r="Y59" t="str">
        <f t="shared" si="5"/>
        <v/>
      </c>
    </row>
    <row r="60" spans="1:25" x14ac:dyDescent="0.4">
      <c r="A60" s="16"/>
      <c r="B60" t="str">
        <f t="shared" si="1"/>
        <v>PRC_GMAP</v>
      </c>
      <c r="C60" t="str">
        <f>IF(UserInput!B59=0,"",UserInput!B59)</f>
        <v>TG_DMD</v>
      </c>
      <c r="D60">
        <f t="shared" si="2"/>
        <v>1</v>
      </c>
      <c r="E60" t="str">
        <f>IF(UserInput!B59=0,"",UserInput!B59)</f>
        <v>TG_DMD</v>
      </c>
      <c r="G60" s="16"/>
      <c r="H60" s="15" t="str">
        <f>IF(UserInput!D59="","",IF(UserInput!D59=UserInput!D58,"","SET "&amp;UserInput!D59&amp;"TIMESreport '"&amp;UserInput!D59&amp;" TIMESreport'/ "))</f>
        <v/>
      </c>
      <c r="I60" s="15" t="str">
        <f>IF(UserInput!B59=0,"",UserInput!B59)</f>
        <v>TG_DMD</v>
      </c>
      <c r="J60" s="15" t="str">
        <f>IF(UserInput!C59=0,"","'"&amp;UserInput!C59&amp;"'")</f>
        <v>'Demand Technology'</v>
      </c>
      <c r="K60" s="15" t="str">
        <f>IF(I60="","",IF(UserInput!D59=UserInput!D60,"","/ ;"))</f>
        <v>/ ;</v>
      </c>
      <c r="M60">
        <f t="shared" si="6"/>
        <v>54</v>
      </c>
      <c r="N60" s="13" t="str">
        <f t="shared" si="3"/>
        <v>TG_DMD 'Demand Technology'/ ;</v>
      </c>
      <c r="O60" t="str">
        <f t="shared" si="4"/>
        <v>IMPNRGZ</v>
      </c>
      <c r="Q60" s="16"/>
      <c r="R60" s="15" t="str">
        <f>IF(UserInput!H59=0,"",IF(UserInput!H59=UserInput!H58,"","SET "&amp;UserInput!H59&amp;"TIMESreport '"&amp;UserInput!H59&amp;" TIMESreport'/ "))</f>
        <v/>
      </c>
      <c r="S60" s="15" t="str">
        <f>IF(UserInput!F59=0,"",UserInput!F59)</f>
        <v/>
      </c>
      <c r="T60" s="15" t="str">
        <f>IF(UserInput!G59=0,"","'"&amp;UserInput!G59&amp;"'")</f>
        <v/>
      </c>
      <c r="U60" s="15" t="str">
        <f>IF(S60="","",IF(UserInput!H59=UserInput!H60,"","/ ;"))</f>
        <v/>
      </c>
      <c r="W60" t="str">
        <f t="shared" si="7"/>
        <v/>
      </c>
      <c r="X60" t="str">
        <f t="shared" si="0"/>
        <v xml:space="preserve"> </v>
      </c>
      <c r="Y60" t="str">
        <f t="shared" si="5"/>
        <v/>
      </c>
    </row>
    <row r="61" spans="1:25" x14ac:dyDescent="0.4">
      <c r="A61" s="16"/>
      <c r="B61" t="str">
        <f t="shared" si="1"/>
        <v/>
      </c>
      <c r="C61" t="str">
        <f>IF(UserInput!B60=0,"",UserInput!B60)</f>
        <v/>
      </c>
      <c r="D61" t="str">
        <f t="shared" si="2"/>
        <v/>
      </c>
      <c r="E61" t="str">
        <f>IF(UserInput!B60=0,"",UserInput!B60)</f>
        <v/>
      </c>
      <c r="G61" s="16"/>
      <c r="H61" s="15" t="str">
        <f>IF(UserInput!D60="","",IF(UserInput!D60=UserInput!D59,"","SET "&amp;UserInput!D60&amp;"TIMESreport '"&amp;UserInput!D60&amp;" TIMESreport'/ "))</f>
        <v/>
      </c>
      <c r="I61" s="15" t="str">
        <f>IF(UserInput!B60=0,"",UserInput!B60)</f>
        <v/>
      </c>
      <c r="J61" s="15" t="str">
        <f>IF(UserInput!C60=0,"","'"&amp;UserInput!C60&amp;"'")</f>
        <v/>
      </c>
      <c r="K61" s="15" t="str">
        <f>IF(I61="","",IF(UserInput!D60=UserInput!D61,"","/ ;"))</f>
        <v/>
      </c>
      <c r="M61" t="str">
        <f t="shared" si="6"/>
        <v/>
      </c>
      <c r="N61" s="13" t="str">
        <f t="shared" si="3"/>
        <v xml:space="preserve"> </v>
      </c>
      <c r="O61" t="str">
        <f t="shared" si="4"/>
        <v/>
      </c>
      <c r="Q61" s="16"/>
      <c r="R61" s="15" t="str">
        <f>IF(UserInput!H60=0,"",IF(UserInput!H60=UserInput!H59,"","SET "&amp;UserInput!H60&amp;"TIMESreport '"&amp;UserInput!H60&amp;" TIMESreport'/ "))</f>
        <v/>
      </c>
      <c r="S61" s="15" t="str">
        <f>IF(UserInput!F60=0,"",UserInput!F60)</f>
        <v/>
      </c>
      <c r="T61" s="15" t="str">
        <f>IF(UserInput!G60=0,"","'"&amp;UserInput!G60&amp;"'")</f>
        <v/>
      </c>
      <c r="U61" s="15" t="str">
        <f>IF(S61="","",IF(UserInput!H60=UserInput!H61,"","/ ;"))</f>
        <v/>
      </c>
      <c r="W61" t="str">
        <f t="shared" si="7"/>
        <v/>
      </c>
      <c r="X61" t="str">
        <f t="shared" si="0"/>
        <v xml:space="preserve"> </v>
      </c>
      <c r="Y61" t="str">
        <f t="shared" si="5"/>
        <v/>
      </c>
    </row>
    <row r="62" spans="1:25" x14ac:dyDescent="0.4">
      <c r="A62" s="16"/>
      <c r="B62" t="str">
        <f t="shared" si="1"/>
        <v/>
      </c>
      <c r="C62" t="str">
        <f>IF(UserInput!B61=0,"",UserInput!B61)</f>
        <v/>
      </c>
      <c r="D62" t="str">
        <f t="shared" si="2"/>
        <v/>
      </c>
      <c r="E62" t="str">
        <f>IF(UserInput!B61=0,"",UserInput!B61)</f>
        <v/>
      </c>
      <c r="G62" s="16"/>
      <c r="H62" s="15" t="str">
        <f>IF(UserInput!D61="","",IF(UserInput!D61=UserInput!D60,"","SET "&amp;UserInput!D61&amp;"TIMESreport '"&amp;UserInput!D61&amp;" TIMESreport'/ "))</f>
        <v/>
      </c>
      <c r="I62" s="15" t="str">
        <f>IF(UserInput!B61=0,"",UserInput!B61)</f>
        <v/>
      </c>
      <c r="J62" s="15" t="str">
        <f>IF(UserInput!C61=0,"","'"&amp;UserInput!C61&amp;"'")</f>
        <v/>
      </c>
      <c r="K62" s="15" t="str">
        <f>IF(I62="","",IF(UserInput!D61=UserInput!D62,"","/ ;"))</f>
        <v/>
      </c>
      <c r="M62" t="str">
        <f t="shared" si="6"/>
        <v/>
      </c>
      <c r="N62" s="13" t="str">
        <f t="shared" si="3"/>
        <v xml:space="preserve"> </v>
      </c>
      <c r="O62" t="str">
        <f t="shared" si="4"/>
        <v/>
      </c>
      <c r="Q62" s="16"/>
      <c r="R62" s="15" t="str">
        <f>IF(UserInput!H61=0,"",IF(UserInput!H61=UserInput!H60,"","SET "&amp;UserInput!H61&amp;"TIMESreport '"&amp;UserInput!H61&amp;" TIMESreport'/ "))</f>
        <v/>
      </c>
      <c r="S62" s="15" t="str">
        <f>IF(UserInput!F61=0,"",UserInput!F61)</f>
        <v/>
      </c>
      <c r="T62" s="15" t="str">
        <f>IF(UserInput!G61=0,"","'"&amp;UserInput!G61&amp;"'")</f>
        <v/>
      </c>
      <c r="U62" s="15" t="str">
        <f>IF(S62="","",IF(UserInput!H61=UserInput!H62,"","/ ;"))</f>
        <v/>
      </c>
      <c r="W62" t="str">
        <f t="shared" si="7"/>
        <v/>
      </c>
      <c r="X62" t="str">
        <f t="shared" si="0"/>
        <v xml:space="preserve"> </v>
      </c>
      <c r="Y62" t="str">
        <f t="shared" si="5"/>
        <v/>
      </c>
    </row>
    <row r="63" spans="1:25" x14ac:dyDescent="0.4">
      <c r="A63" s="16"/>
      <c r="B63" t="str">
        <f t="shared" si="1"/>
        <v/>
      </c>
      <c r="C63" t="str">
        <f>IF(UserInput!B62=0,"",UserInput!B62)</f>
        <v/>
      </c>
      <c r="D63" t="str">
        <f t="shared" si="2"/>
        <v/>
      </c>
      <c r="E63" t="str">
        <f>IF(UserInput!B62=0,"",UserInput!B62)</f>
        <v/>
      </c>
      <c r="G63" s="16"/>
      <c r="H63" s="15" t="str">
        <f>IF(UserInput!D62="","",IF(UserInput!D62=UserInput!D61,"","SET "&amp;UserInput!D62&amp;"TIMESreport '"&amp;UserInput!D62&amp;" TIMESreport'/ "))</f>
        <v/>
      </c>
      <c r="I63" s="15" t="str">
        <f>IF(UserInput!B62=0,"",UserInput!B62)</f>
        <v/>
      </c>
      <c r="J63" s="15" t="str">
        <f>IF(UserInput!C62=0,"","'"&amp;UserInput!C62&amp;"'")</f>
        <v/>
      </c>
      <c r="K63" s="15" t="str">
        <f>IF(I63="","",IF(UserInput!D62=UserInput!D63,"","/ ;"))</f>
        <v/>
      </c>
      <c r="M63" t="str">
        <f t="shared" si="6"/>
        <v/>
      </c>
      <c r="N63" s="13" t="str">
        <f t="shared" si="3"/>
        <v xml:space="preserve"> </v>
      </c>
      <c r="O63" t="str">
        <f t="shared" si="4"/>
        <v/>
      </c>
      <c r="Q63" s="16"/>
      <c r="R63" s="15" t="str">
        <f>IF(UserInput!H62=0,"",IF(UserInput!H62=UserInput!H61,"","SET "&amp;UserInput!H62&amp;"TIMESreport '"&amp;UserInput!H62&amp;" TIMESreport'/ "))</f>
        <v/>
      </c>
      <c r="S63" s="15" t="str">
        <f>IF(UserInput!F62=0,"",UserInput!F62)</f>
        <v/>
      </c>
      <c r="T63" s="15" t="str">
        <f>IF(UserInput!G62=0,"","'"&amp;UserInput!G62&amp;"'")</f>
        <v/>
      </c>
      <c r="U63" s="15" t="str">
        <f>IF(S63="","",IF(UserInput!H62=UserInput!H63,"","/ ;"))</f>
        <v/>
      </c>
      <c r="W63" t="str">
        <f t="shared" si="7"/>
        <v/>
      </c>
      <c r="X63" t="str">
        <f t="shared" si="0"/>
        <v xml:space="preserve"> </v>
      </c>
      <c r="Y63" t="str">
        <f t="shared" si="5"/>
        <v/>
      </c>
    </row>
    <row r="64" spans="1:25" x14ac:dyDescent="0.4">
      <c r="A64" s="16"/>
      <c r="B64" t="str">
        <f t="shared" si="1"/>
        <v/>
      </c>
      <c r="C64" t="str">
        <f>IF(UserInput!B63=0,"",UserInput!B63)</f>
        <v/>
      </c>
      <c r="D64" t="str">
        <f t="shared" si="2"/>
        <v/>
      </c>
      <c r="E64" t="str">
        <f>IF(UserInput!B63=0,"",UserInput!B63)</f>
        <v/>
      </c>
      <c r="G64" s="16"/>
      <c r="H64" s="15" t="str">
        <f>IF(UserInput!D63="","",IF(UserInput!D63=UserInput!D62,"","SET "&amp;UserInput!D63&amp;"TIMESreport '"&amp;UserInput!D63&amp;" TIMESreport'/ "))</f>
        <v/>
      </c>
      <c r="I64" s="15" t="str">
        <f>IF(UserInput!B63=0,"",UserInput!B63)</f>
        <v/>
      </c>
      <c r="J64" s="15" t="str">
        <f>IF(UserInput!C63=0,"","'"&amp;UserInput!C63&amp;"'")</f>
        <v/>
      </c>
      <c r="K64" s="15" t="str">
        <f>IF(I64="","",IF(UserInput!D63=UserInput!D64,"","/ ;"))</f>
        <v/>
      </c>
      <c r="M64" t="str">
        <f t="shared" si="6"/>
        <v/>
      </c>
      <c r="N64" s="13" t="str">
        <f t="shared" si="3"/>
        <v xml:space="preserve"> </v>
      </c>
      <c r="O64" t="str">
        <f t="shared" si="4"/>
        <v/>
      </c>
      <c r="Q64" s="16"/>
      <c r="R64" s="15" t="str">
        <f>IF(UserInput!H63=0,"",IF(UserInput!H63=UserInput!H62,"","SET "&amp;UserInput!H63&amp;"TIMESreport '"&amp;UserInput!H63&amp;" TIMESreport'/ "))</f>
        <v/>
      </c>
      <c r="S64" s="15" t="str">
        <f>IF(UserInput!F63=0,"",UserInput!F63)</f>
        <v/>
      </c>
      <c r="T64" s="15" t="str">
        <f>IF(UserInput!G63=0,"","'"&amp;UserInput!G63&amp;"'")</f>
        <v/>
      </c>
      <c r="U64" s="15" t="str">
        <f>IF(S64="","",IF(UserInput!H63=UserInput!H64,"","/ ;"))</f>
        <v/>
      </c>
      <c r="W64" t="str">
        <f t="shared" si="7"/>
        <v/>
      </c>
      <c r="X64" t="str">
        <f t="shared" si="0"/>
        <v xml:space="preserve"> </v>
      </c>
      <c r="Y64" t="str">
        <f t="shared" si="5"/>
        <v/>
      </c>
    </row>
    <row r="65" spans="1:25" x14ac:dyDescent="0.4">
      <c r="A65" s="16"/>
      <c r="B65" t="str">
        <f t="shared" si="1"/>
        <v/>
      </c>
      <c r="C65" t="str">
        <f>IF(UserInput!B64=0,"",UserInput!B64)</f>
        <v/>
      </c>
      <c r="D65" t="str">
        <f t="shared" si="2"/>
        <v/>
      </c>
      <c r="E65" t="str">
        <f>IF(UserInput!B64=0,"",UserInput!B64)</f>
        <v/>
      </c>
      <c r="G65" s="16"/>
      <c r="H65" s="15" t="str">
        <f>IF(UserInput!D64="","",IF(UserInput!D64=UserInput!D63,"","SET "&amp;UserInput!D64&amp;"TIMESreport '"&amp;UserInput!D64&amp;" TIMESreport'/ "))</f>
        <v/>
      </c>
      <c r="I65" s="15" t="str">
        <f>IF(UserInput!B64=0,"",UserInput!B64)</f>
        <v/>
      </c>
      <c r="J65" s="15" t="str">
        <f>IF(UserInput!C64=0,"","'"&amp;UserInput!C64&amp;"'")</f>
        <v/>
      </c>
      <c r="K65" s="15" t="str">
        <f>IF(I65="","",IF(UserInput!D64=UserInput!D65,"","/ ;"))</f>
        <v/>
      </c>
      <c r="M65" t="str">
        <f t="shared" si="6"/>
        <v/>
      </c>
      <c r="N65" s="13" t="str">
        <f t="shared" si="3"/>
        <v xml:space="preserve"> </v>
      </c>
      <c r="O65" t="str">
        <f t="shared" si="4"/>
        <v/>
      </c>
      <c r="Q65" s="16"/>
      <c r="R65" s="15" t="str">
        <f>IF(UserInput!H64=0,"",IF(UserInput!H64=UserInput!H63,"","SET "&amp;UserInput!H64&amp;"TIMESreport '"&amp;UserInput!H64&amp;" TIMESreport'/ "))</f>
        <v/>
      </c>
      <c r="S65" s="15" t="str">
        <f>IF(UserInput!F64=0,"",UserInput!F64)</f>
        <v/>
      </c>
      <c r="T65" s="15" t="str">
        <f>IF(UserInput!G64=0,"","'"&amp;UserInput!G64&amp;"'")</f>
        <v/>
      </c>
      <c r="U65" s="15" t="str">
        <f>IF(S65="","",IF(UserInput!H64=UserInput!H65,"","/ ;"))</f>
        <v/>
      </c>
      <c r="W65" t="str">
        <f t="shared" si="7"/>
        <v/>
      </c>
      <c r="X65" t="str">
        <f t="shared" si="0"/>
        <v xml:space="preserve"> </v>
      </c>
      <c r="Y65" t="str">
        <f t="shared" si="5"/>
        <v/>
      </c>
    </row>
    <row r="66" spans="1:25" x14ac:dyDescent="0.4">
      <c r="A66" s="16"/>
      <c r="B66" t="str">
        <f t="shared" si="1"/>
        <v/>
      </c>
      <c r="C66" t="str">
        <f>IF(UserInput!B65=0,"",UserInput!B65)</f>
        <v/>
      </c>
      <c r="D66" t="str">
        <f t="shared" si="2"/>
        <v/>
      </c>
      <c r="E66" t="str">
        <f>IF(UserInput!B65=0,"",UserInput!B65)</f>
        <v/>
      </c>
      <c r="G66" s="16"/>
      <c r="H66" s="15" t="str">
        <f>IF(UserInput!D65="","",IF(UserInput!D65=UserInput!D64,"","SET "&amp;UserInput!D65&amp;"TIMESreport '"&amp;UserInput!D65&amp;" TIMESreport'/ "))</f>
        <v/>
      </c>
      <c r="I66" s="15" t="str">
        <f>IF(UserInput!B65=0,"",UserInput!B65)</f>
        <v/>
      </c>
      <c r="J66" s="15" t="str">
        <f>IF(UserInput!C65=0,"","'"&amp;UserInput!C65&amp;"'")</f>
        <v/>
      </c>
      <c r="K66" s="15" t="str">
        <f>IF(I66="","",IF(UserInput!D65=UserInput!D66,"","/ ;"))</f>
        <v/>
      </c>
      <c r="M66" t="str">
        <f t="shared" si="6"/>
        <v/>
      </c>
      <c r="N66" s="13" t="str">
        <f t="shared" si="3"/>
        <v xml:space="preserve"> </v>
      </c>
      <c r="O66" t="str">
        <f t="shared" si="4"/>
        <v/>
      </c>
      <c r="Q66" s="16"/>
      <c r="R66" s="15" t="str">
        <f>IF(UserInput!H65=0,"",IF(UserInput!H65=UserInput!H64,"","SET "&amp;UserInput!H65&amp;"TIMESreport '"&amp;UserInput!H65&amp;" TIMESreport'/ "))</f>
        <v/>
      </c>
      <c r="S66" s="15" t="str">
        <f>IF(UserInput!F65=0,"",UserInput!F65)</f>
        <v/>
      </c>
      <c r="T66" s="15" t="str">
        <f>IF(UserInput!G65=0,"","'"&amp;UserInput!G65&amp;"'")</f>
        <v/>
      </c>
      <c r="U66" s="15" t="str">
        <f>IF(S66="","",IF(UserInput!H65=UserInput!H66,"","/ ;"))</f>
        <v/>
      </c>
      <c r="W66" t="str">
        <f t="shared" si="7"/>
        <v/>
      </c>
      <c r="X66" t="str">
        <f t="shared" si="0"/>
        <v xml:space="preserve"> </v>
      </c>
      <c r="Y66" t="str">
        <f t="shared" si="5"/>
        <v/>
      </c>
    </row>
    <row r="67" spans="1:25" x14ac:dyDescent="0.4">
      <c r="A67" s="16"/>
      <c r="B67" t="str">
        <f t="shared" si="1"/>
        <v/>
      </c>
      <c r="C67" t="str">
        <f>IF(UserInput!B66=0,"",UserInput!B66)</f>
        <v/>
      </c>
      <c r="D67" t="str">
        <f t="shared" si="2"/>
        <v/>
      </c>
      <c r="E67" t="str">
        <f>IF(UserInput!B66=0,"",UserInput!B66)</f>
        <v/>
      </c>
      <c r="G67" s="16"/>
      <c r="H67" s="15" t="str">
        <f>IF(UserInput!D66="","",IF(UserInput!D66=UserInput!D65,"","SET "&amp;UserInput!D66&amp;"TIMESreport '"&amp;UserInput!D66&amp;" TIMESreport'/ "))</f>
        <v/>
      </c>
      <c r="I67" s="15" t="str">
        <f>IF(UserInput!B66=0,"",UserInput!B66)</f>
        <v/>
      </c>
      <c r="J67" s="15" t="str">
        <f>IF(UserInput!C66=0,"","'"&amp;UserInput!C66&amp;"'")</f>
        <v/>
      </c>
      <c r="K67" s="15" t="str">
        <f>IF(I67="","",IF(UserInput!D66=UserInput!D67,"","/ ;"))</f>
        <v/>
      </c>
      <c r="M67" t="str">
        <f t="shared" si="6"/>
        <v/>
      </c>
      <c r="N67" s="13" t="str">
        <f t="shared" si="3"/>
        <v xml:space="preserve"> </v>
      </c>
      <c r="O67" t="str">
        <f t="shared" si="4"/>
        <v/>
      </c>
      <c r="Q67" s="16"/>
      <c r="R67" s="15" t="str">
        <f>IF(UserInput!H66=0,"",IF(UserInput!H66=UserInput!H65,"","SET "&amp;UserInput!H66&amp;"TIMESreport '"&amp;UserInput!H66&amp;" TIMESreport'/ "))</f>
        <v/>
      </c>
      <c r="S67" s="15" t="str">
        <f>IF(UserInput!F66=0,"",UserInput!F66)</f>
        <v/>
      </c>
      <c r="T67" s="15" t="str">
        <f>IF(UserInput!G66=0,"","'"&amp;UserInput!G66&amp;"'")</f>
        <v/>
      </c>
      <c r="U67" s="15" t="str">
        <f>IF(S67="","",IF(UserInput!H66=UserInput!H67,"","/ ;"))</f>
        <v/>
      </c>
      <c r="W67" t="str">
        <f t="shared" si="7"/>
        <v/>
      </c>
      <c r="X67" t="str">
        <f t="shared" si="0"/>
        <v xml:space="preserve"> </v>
      </c>
      <c r="Y67" t="str">
        <f t="shared" si="5"/>
        <v/>
      </c>
    </row>
    <row r="68" spans="1:25" x14ac:dyDescent="0.4">
      <c r="A68" s="16"/>
      <c r="B68" t="str">
        <f t="shared" si="1"/>
        <v/>
      </c>
      <c r="C68" t="str">
        <f>IF(UserInput!B67=0,"",UserInput!B67)</f>
        <v/>
      </c>
      <c r="D68" t="str">
        <f t="shared" si="2"/>
        <v/>
      </c>
      <c r="E68" t="str">
        <f>IF(UserInput!B67=0,"",UserInput!B67)</f>
        <v/>
      </c>
      <c r="G68" s="16"/>
      <c r="H68" s="15" t="str">
        <f>IF(UserInput!D67="","",IF(UserInput!D67=UserInput!D66,"","SET "&amp;UserInput!D67&amp;"TIMESreport '"&amp;UserInput!D67&amp;" TIMESreport'/ "))</f>
        <v/>
      </c>
      <c r="I68" s="15" t="str">
        <f>IF(UserInput!B67=0,"",UserInput!B67)</f>
        <v/>
      </c>
      <c r="J68" s="15" t="str">
        <f>IF(UserInput!C67=0,"","'"&amp;UserInput!C67&amp;"'")</f>
        <v/>
      </c>
      <c r="K68" s="15" t="str">
        <f>IF(I68="","",IF(UserInput!D67=UserInput!D68,"","/ ;"))</f>
        <v/>
      </c>
      <c r="M68" t="str">
        <f t="shared" si="6"/>
        <v/>
      </c>
      <c r="N68" s="13" t="str">
        <f t="shared" si="3"/>
        <v xml:space="preserve"> </v>
      </c>
      <c r="O68" t="str">
        <f t="shared" si="4"/>
        <v/>
      </c>
      <c r="Q68" s="16"/>
      <c r="R68" s="15" t="str">
        <f>IF(UserInput!H67=0,"",IF(UserInput!H67=UserInput!H66,"","SET "&amp;UserInput!H67&amp;"TIMESreport '"&amp;UserInput!H67&amp;" TIMESreport'/ "))</f>
        <v/>
      </c>
      <c r="S68" s="15" t="str">
        <f>IF(UserInput!F67=0,"",UserInput!F67)</f>
        <v/>
      </c>
      <c r="T68" s="15" t="str">
        <f>IF(UserInput!G67=0,"","'"&amp;UserInput!G67&amp;"'")</f>
        <v/>
      </c>
      <c r="U68" s="15" t="str">
        <f>IF(S68="","",IF(UserInput!H67=UserInput!H68,"","/ ;"))</f>
        <v/>
      </c>
      <c r="W68" t="str">
        <f t="shared" si="7"/>
        <v/>
      </c>
      <c r="X68" t="str">
        <f t="shared" si="0"/>
        <v xml:space="preserve"> </v>
      </c>
      <c r="Y68" t="str">
        <f t="shared" si="5"/>
        <v/>
      </c>
    </row>
    <row r="69" spans="1:25" x14ac:dyDescent="0.4">
      <c r="A69" s="16"/>
      <c r="B69" t="str">
        <f t="shared" si="1"/>
        <v/>
      </c>
      <c r="C69" t="str">
        <f>IF(UserInput!B68=0,"",UserInput!B68)</f>
        <v/>
      </c>
      <c r="D69" t="str">
        <f t="shared" si="2"/>
        <v/>
      </c>
      <c r="E69" t="str">
        <f>IF(UserInput!B68=0,"",UserInput!B68)</f>
        <v/>
      </c>
      <c r="G69" s="16"/>
      <c r="H69" s="15" t="str">
        <f>IF(UserInput!D68="","",IF(UserInput!D68=UserInput!D67,"","SET "&amp;UserInput!D68&amp;"TIMESreport '"&amp;UserInput!D68&amp;" TIMESreport'/ "))</f>
        <v/>
      </c>
      <c r="I69" s="15" t="str">
        <f>IF(UserInput!B68=0,"",UserInput!B68)</f>
        <v/>
      </c>
      <c r="J69" s="15" t="str">
        <f>IF(UserInput!C68=0,"","'"&amp;UserInput!C68&amp;"'")</f>
        <v/>
      </c>
      <c r="K69" s="15" t="str">
        <f>IF(I69="","",IF(UserInput!D68=UserInput!D69,"","/ ;"))</f>
        <v/>
      </c>
      <c r="M69" t="str">
        <f t="shared" si="6"/>
        <v/>
      </c>
      <c r="N69" s="13" t="str">
        <f t="shared" si="3"/>
        <v xml:space="preserve"> </v>
      </c>
      <c r="O69" t="str">
        <f t="shared" si="4"/>
        <v/>
      </c>
      <c r="Q69" s="16"/>
      <c r="R69" s="15" t="str">
        <f>IF(UserInput!H68=0,"",IF(UserInput!H68=UserInput!H67,"","SET "&amp;UserInput!H68&amp;"TIMESreport '"&amp;UserInput!H68&amp;" TIMESreport'/ "))</f>
        <v/>
      </c>
      <c r="S69" s="15" t="str">
        <f>IF(UserInput!F68=0,"",UserInput!F68)</f>
        <v/>
      </c>
      <c r="T69" s="15" t="str">
        <f>IF(UserInput!G68=0,"","'"&amp;UserInput!G68&amp;"'")</f>
        <v/>
      </c>
      <c r="U69" s="15" t="str">
        <f>IF(S69="","",IF(UserInput!H68=UserInput!H69,"","/ ;"))</f>
        <v/>
      </c>
      <c r="W69" t="str">
        <f t="shared" si="7"/>
        <v/>
      </c>
      <c r="X69" t="str">
        <f t="shared" si="0"/>
        <v xml:space="preserve"> </v>
      </c>
      <c r="Y69" t="str">
        <f t="shared" si="5"/>
        <v/>
      </c>
    </row>
    <row r="70" spans="1:25" x14ac:dyDescent="0.4">
      <c r="A70" s="16"/>
      <c r="B70" t="str">
        <f t="shared" si="1"/>
        <v/>
      </c>
      <c r="C70" t="str">
        <f>IF(UserInput!B69=0,"",UserInput!B69)</f>
        <v/>
      </c>
      <c r="D70" t="str">
        <f t="shared" si="2"/>
        <v/>
      </c>
      <c r="E70" t="str">
        <f>IF(UserInput!B69=0,"",UserInput!B69)</f>
        <v/>
      </c>
      <c r="G70" s="16"/>
      <c r="H70" s="15" t="str">
        <f>IF(UserInput!D69="","",IF(UserInput!D69=UserInput!D68,"","SET "&amp;UserInput!D69&amp;"TIMESreport '"&amp;UserInput!D69&amp;" TIMESreport'/ "))</f>
        <v/>
      </c>
      <c r="I70" s="15" t="str">
        <f>IF(UserInput!B69=0,"",UserInput!B69)</f>
        <v/>
      </c>
      <c r="J70" s="15" t="str">
        <f>IF(UserInput!C69=0,"","'"&amp;UserInput!C69&amp;"'")</f>
        <v/>
      </c>
      <c r="K70" s="15" t="str">
        <f>IF(I70="","",IF(UserInput!D69=UserInput!D70,"","/ ;"))</f>
        <v/>
      </c>
      <c r="M70" t="str">
        <f t="shared" si="6"/>
        <v/>
      </c>
      <c r="N70" s="13" t="str">
        <f t="shared" si="3"/>
        <v xml:space="preserve"> </v>
      </c>
      <c r="O70" t="str">
        <f t="shared" si="4"/>
        <v/>
      </c>
      <c r="Q70" s="16"/>
      <c r="R70" s="15" t="str">
        <f>IF(UserInput!H69=0,"",IF(UserInput!H69=UserInput!H68,"","SET "&amp;UserInput!H69&amp;"TIMESreport '"&amp;UserInput!H69&amp;" TIMESreport'/ "))</f>
        <v/>
      </c>
      <c r="S70" s="15" t="str">
        <f>IF(UserInput!F69=0,"",UserInput!F69)</f>
        <v/>
      </c>
      <c r="T70" s="15" t="str">
        <f>IF(UserInput!G69=0,"","'"&amp;UserInput!G69&amp;"'")</f>
        <v/>
      </c>
      <c r="U70" s="15" t="str">
        <f>IF(S70="","",IF(UserInput!H69=UserInput!H70,"","/ ;"))</f>
        <v/>
      </c>
      <c r="W70" t="str">
        <f t="shared" si="7"/>
        <v/>
      </c>
      <c r="X70" t="str">
        <f t="shared" si="0"/>
        <v xml:space="preserve"> </v>
      </c>
      <c r="Y70" t="str">
        <f t="shared" si="5"/>
        <v/>
      </c>
    </row>
    <row r="71" spans="1:25" x14ac:dyDescent="0.4">
      <c r="A71" s="16"/>
      <c r="B71" t="str">
        <f t="shared" si="1"/>
        <v/>
      </c>
      <c r="C71" t="str">
        <f>IF(UserInput!B70=0,"",UserInput!B70)</f>
        <v/>
      </c>
      <c r="D71" t="str">
        <f t="shared" si="2"/>
        <v/>
      </c>
      <c r="E71" t="str">
        <f>IF(UserInput!B70=0,"",UserInput!B70)</f>
        <v/>
      </c>
      <c r="G71" s="16"/>
      <c r="H71" s="15" t="str">
        <f>IF(UserInput!D70="","",IF(UserInput!D70=UserInput!D69,"","SET "&amp;UserInput!D70&amp;"TIMESreport '"&amp;UserInput!D70&amp;" TIMESreport'/ "))</f>
        <v/>
      </c>
      <c r="I71" s="15" t="str">
        <f>IF(UserInput!B70=0,"",UserInput!B70)</f>
        <v/>
      </c>
      <c r="J71" s="15" t="str">
        <f>IF(UserInput!C70=0,"","'"&amp;UserInput!C70&amp;"'")</f>
        <v/>
      </c>
      <c r="K71" s="15" t="str">
        <f>IF(I71="","",IF(UserInput!D70=UserInput!D71,"","/ ;"))</f>
        <v/>
      </c>
      <c r="M71" t="str">
        <f t="shared" si="6"/>
        <v/>
      </c>
      <c r="N71" s="13" t="str">
        <f t="shared" si="3"/>
        <v xml:space="preserve"> </v>
      </c>
      <c r="O71" t="str">
        <f t="shared" si="4"/>
        <v/>
      </c>
      <c r="Q71" s="16"/>
      <c r="R71" s="15" t="str">
        <f>IF(UserInput!H70=0,"",IF(UserInput!H70=UserInput!H69,"","SET "&amp;UserInput!H70&amp;"TIMESreport '"&amp;UserInput!H70&amp;" TIMESreport'/ "))</f>
        <v/>
      </c>
      <c r="S71" s="15" t="str">
        <f>IF(UserInput!F70=0,"",UserInput!F70)</f>
        <v/>
      </c>
      <c r="T71" s="15" t="str">
        <f>IF(UserInput!G70=0,"","'"&amp;UserInput!G70&amp;"'")</f>
        <v/>
      </c>
      <c r="U71" s="15" t="str">
        <f>IF(S71="","",IF(UserInput!H70=UserInput!H71,"","/ ;"))</f>
        <v/>
      </c>
      <c r="W71" t="str">
        <f t="shared" si="7"/>
        <v/>
      </c>
      <c r="X71" t="str">
        <f t="shared" ref="X71:X134" si="8">_xlfn.CONCAT(R71:S71)&amp;" "&amp;_xlfn.CONCAT(T71:U71)</f>
        <v xml:space="preserve"> </v>
      </c>
      <c r="Y71" t="str">
        <f t="shared" si="5"/>
        <v/>
      </c>
    </row>
    <row r="72" spans="1:25" x14ac:dyDescent="0.4">
      <c r="A72" s="16"/>
      <c r="B72" t="str">
        <f t="shared" ref="B72:B135" si="9">IF(C72="","","PRC_GMAP")</f>
        <v/>
      </c>
      <c r="C72" t="str">
        <f>IF(UserInput!B71=0,"",UserInput!B71)</f>
        <v/>
      </c>
      <c r="D72" t="str">
        <f t="shared" ref="D72:D135" si="10">IF(C72="","",1)</f>
        <v/>
      </c>
      <c r="E72" t="str">
        <f>IF(UserInput!B71=0,"",UserInput!B71)</f>
        <v/>
      </c>
      <c r="G72" s="16"/>
      <c r="H72" s="15" t="str">
        <f>IF(UserInput!D71="","",IF(UserInput!D71=UserInput!D70,"","SET "&amp;UserInput!D71&amp;"TIMESreport '"&amp;UserInput!D71&amp;" TIMESreport'/ "))</f>
        <v/>
      </c>
      <c r="I72" s="15" t="str">
        <f>IF(UserInput!B71=0,"",UserInput!B71)</f>
        <v/>
      </c>
      <c r="J72" s="15" t="str">
        <f>IF(UserInput!C71=0,"","'"&amp;UserInput!C71&amp;"'")</f>
        <v/>
      </c>
      <c r="K72" s="15" t="str">
        <f>IF(I72="","",IF(UserInput!D71=UserInput!D72,"","/ ;"))</f>
        <v/>
      </c>
      <c r="M72" t="str">
        <f t="shared" si="6"/>
        <v/>
      </c>
      <c r="N72" s="13" t="str">
        <f t="shared" ref="N72:N135" si="11">_xlfn.CONCAT(H72:I72)&amp;" "&amp;_xlfn.CONCAT(J72:K72)</f>
        <v xml:space="preserve"> </v>
      </c>
      <c r="O72" t="str">
        <f t="shared" ref="O72:O135" si="12">IF(M72="","","IMPNRGZ")</f>
        <v/>
      </c>
      <c r="Q72" s="16"/>
      <c r="R72" s="15" t="str">
        <f>IF(UserInput!H71=0,"",IF(UserInput!H71=UserInput!H70,"","SET "&amp;UserInput!H71&amp;"TIMESreport '"&amp;UserInput!H71&amp;" TIMESreport'/ "))</f>
        <v/>
      </c>
      <c r="S72" s="15" t="str">
        <f>IF(UserInput!F71=0,"",UserInput!F71)</f>
        <v/>
      </c>
      <c r="T72" s="15" t="str">
        <f>IF(UserInput!G71=0,"","'"&amp;UserInput!G71&amp;"'")</f>
        <v/>
      </c>
      <c r="U72" s="15" t="str">
        <f>IF(S72="","",IF(UserInput!H71=UserInput!H72,"","/ ;"))</f>
        <v/>
      </c>
      <c r="W72" t="str">
        <f t="shared" si="7"/>
        <v/>
      </c>
      <c r="X72" t="str">
        <f t="shared" si="8"/>
        <v xml:space="preserve"> </v>
      </c>
      <c r="Y72" t="str">
        <f t="shared" ref="Y72:Y135" si="13">IF(W72="","","IMPNRGZ")</f>
        <v/>
      </c>
    </row>
    <row r="73" spans="1:25" x14ac:dyDescent="0.4">
      <c r="A73" s="16"/>
      <c r="B73" t="str">
        <f t="shared" si="9"/>
        <v/>
      </c>
      <c r="C73" t="str">
        <f>IF(UserInput!B72=0,"",UserInput!B72)</f>
        <v/>
      </c>
      <c r="D73" t="str">
        <f t="shared" si="10"/>
        <v/>
      </c>
      <c r="E73" t="str">
        <f>IF(UserInput!B72=0,"",UserInput!B72)</f>
        <v/>
      </c>
      <c r="G73" s="16"/>
      <c r="H73" s="15" t="str">
        <f>IF(UserInput!D72="","",IF(UserInput!D72=UserInput!D71,"","SET "&amp;UserInput!D72&amp;"TIMESreport '"&amp;UserInput!D72&amp;" TIMESreport'/ "))</f>
        <v/>
      </c>
      <c r="I73" s="15" t="str">
        <f>IF(UserInput!B72=0,"",UserInput!B72)</f>
        <v/>
      </c>
      <c r="J73" s="15" t="str">
        <f>IF(UserInput!C72=0,"","'"&amp;UserInput!C72&amp;"'")</f>
        <v/>
      </c>
      <c r="K73" s="15" t="str">
        <f>IF(I73="","",IF(UserInput!D72=UserInput!D73,"","/ ;"))</f>
        <v/>
      </c>
      <c r="M73" t="str">
        <f t="shared" ref="M73:M136" si="14">IF(I73="","",1+M72)</f>
        <v/>
      </c>
      <c r="N73" s="13" t="str">
        <f t="shared" si="11"/>
        <v xml:space="preserve"> </v>
      </c>
      <c r="O73" t="str">
        <f t="shared" si="12"/>
        <v/>
      </c>
      <c r="Q73" s="16"/>
      <c r="R73" s="15" t="str">
        <f>IF(UserInput!H72=0,"",IF(UserInput!H72=UserInput!H71,"","SET "&amp;UserInput!H72&amp;"TIMESreport '"&amp;UserInput!H72&amp;" TIMESreport'/ "))</f>
        <v/>
      </c>
      <c r="S73" s="15" t="str">
        <f>IF(UserInput!F72=0,"",UserInput!F72)</f>
        <v/>
      </c>
      <c r="T73" s="15" t="str">
        <f>IF(UserInput!G72=0,"","'"&amp;UserInput!G72&amp;"'")</f>
        <v/>
      </c>
      <c r="U73" s="15" t="str">
        <f>IF(S73="","",IF(UserInput!H72=UserInput!H73,"","/ ;"))</f>
        <v/>
      </c>
      <c r="W73" t="str">
        <f t="shared" ref="W73:W136" si="15">IF(S73="","",W72+1)</f>
        <v/>
      </c>
      <c r="X73" t="str">
        <f t="shared" si="8"/>
        <v xml:space="preserve"> </v>
      </c>
      <c r="Y73" t="str">
        <f t="shared" si="13"/>
        <v/>
      </c>
    </row>
    <row r="74" spans="1:25" x14ac:dyDescent="0.4">
      <c r="A74" s="16"/>
      <c r="B74" t="str">
        <f t="shared" si="9"/>
        <v/>
      </c>
      <c r="C74" t="str">
        <f>IF(UserInput!B73=0,"",UserInput!B73)</f>
        <v/>
      </c>
      <c r="D74" t="str">
        <f t="shared" si="10"/>
        <v/>
      </c>
      <c r="E74" t="str">
        <f>IF(UserInput!B73=0,"",UserInput!B73)</f>
        <v/>
      </c>
      <c r="G74" s="16"/>
      <c r="H74" s="15" t="str">
        <f>IF(UserInput!D73="","",IF(UserInput!D73=UserInput!D72,"","SET "&amp;UserInput!D73&amp;"TIMESreport '"&amp;UserInput!D73&amp;" TIMESreport'/ "))</f>
        <v/>
      </c>
      <c r="I74" s="15" t="str">
        <f>IF(UserInput!B73=0,"",UserInput!B73)</f>
        <v/>
      </c>
      <c r="J74" s="15" t="str">
        <f>IF(UserInput!C73=0,"","'"&amp;UserInput!C73&amp;"'")</f>
        <v/>
      </c>
      <c r="K74" s="15" t="str">
        <f>IF(I74="","",IF(UserInput!D73=UserInput!D74,"","/ ;"))</f>
        <v/>
      </c>
      <c r="M74" t="str">
        <f t="shared" si="14"/>
        <v/>
      </c>
      <c r="N74" s="13" t="str">
        <f t="shared" si="11"/>
        <v xml:space="preserve"> </v>
      </c>
      <c r="O74" t="str">
        <f t="shared" si="12"/>
        <v/>
      </c>
      <c r="Q74" s="16"/>
      <c r="R74" s="15" t="str">
        <f>IF(UserInput!H73=0,"",IF(UserInput!H73=UserInput!H72,"","SET "&amp;UserInput!H73&amp;"TIMESreport '"&amp;UserInput!H73&amp;" TIMESreport'/ "))</f>
        <v/>
      </c>
      <c r="S74" s="15" t="str">
        <f>IF(UserInput!F73=0,"",UserInput!F73)</f>
        <v/>
      </c>
      <c r="T74" s="15" t="str">
        <f>IF(UserInput!G73=0,"","'"&amp;UserInput!G73&amp;"'")</f>
        <v/>
      </c>
      <c r="U74" s="15" t="str">
        <f>IF(S74="","",IF(UserInput!H73=UserInput!H74,"","/ ;"))</f>
        <v/>
      </c>
      <c r="W74" t="str">
        <f t="shared" si="15"/>
        <v/>
      </c>
      <c r="X74" t="str">
        <f t="shared" si="8"/>
        <v xml:space="preserve"> </v>
      </c>
      <c r="Y74" t="str">
        <f t="shared" si="13"/>
        <v/>
      </c>
    </row>
    <row r="75" spans="1:25" x14ac:dyDescent="0.4">
      <c r="A75" s="16"/>
      <c r="B75" t="str">
        <f t="shared" si="9"/>
        <v/>
      </c>
      <c r="C75" t="str">
        <f>IF(UserInput!B74=0,"",UserInput!B74)</f>
        <v/>
      </c>
      <c r="D75" t="str">
        <f t="shared" si="10"/>
        <v/>
      </c>
      <c r="E75" t="str">
        <f>IF(UserInput!B74=0,"",UserInput!B74)</f>
        <v/>
      </c>
      <c r="G75" s="16"/>
      <c r="H75" s="15" t="str">
        <f>IF(UserInput!D74="","",IF(UserInput!D74=UserInput!D73,"","SET "&amp;UserInput!D74&amp;"TIMESreport '"&amp;UserInput!D74&amp;" TIMESreport'/ "))</f>
        <v/>
      </c>
      <c r="I75" s="15" t="str">
        <f>IF(UserInput!B74=0,"",UserInput!B74)</f>
        <v/>
      </c>
      <c r="J75" s="15" t="str">
        <f>IF(UserInput!C74=0,"","'"&amp;UserInput!C74&amp;"'")</f>
        <v/>
      </c>
      <c r="K75" s="15" t="str">
        <f>IF(I75="","",IF(UserInput!D74=UserInput!D75,"","/ ;"))</f>
        <v/>
      </c>
      <c r="M75" t="str">
        <f t="shared" si="14"/>
        <v/>
      </c>
      <c r="N75" s="13" t="str">
        <f t="shared" si="11"/>
        <v xml:space="preserve"> </v>
      </c>
      <c r="O75" t="str">
        <f t="shared" si="12"/>
        <v/>
      </c>
      <c r="Q75" s="16"/>
      <c r="R75" s="15" t="str">
        <f>IF(UserInput!H74=0,"",IF(UserInput!H74=UserInput!H73,"","SET "&amp;UserInput!H74&amp;"TIMESreport '"&amp;UserInput!H74&amp;" TIMESreport'/ "))</f>
        <v/>
      </c>
      <c r="S75" s="15" t="str">
        <f>IF(UserInput!F74=0,"",UserInput!F74)</f>
        <v/>
      </c>
      <c r="T75" s="15" t="str">
        <f>IF(UserInput!G74=0,"","'"&amp;UserInput!G74&amp;"'")</f>
        <v/>
      </c>
      <c r="U75" s="15" t="str">
        <f>IF(S75="","",IF(UserInput!H74=UserInput!H75,"","/ ;"))</f>
        <v/>
      </c>
      <c r="W75" t="str">
        <f t="shared" si="15"/>
        <v/>
      </c>
      <c r="X75" t="str">
        <f t="shared" si="8"/>
        <v xml:space="preserve"> </v>
      </c>
      <c r="Y75" t="str">
        <f t="shared" si="13"/>
        <v/>
      </c>
    </row>
    <row r="76" spans="1:25" x14ac:dyDescent="0.4">
      <c r="A76" s="16"/>
      <c r="B76" t="str">
        <f t="shared" si="9"/>
        <v/>
      </c>
      <c r="C76" t="str">
        <f>IF(UserInput!B75=0,"",UserInput!B75)</f>
        <v/>
      </c>
      <c r="D76" t="str">
        <f t="shared" si="10"/>
        <v/>
      </c>
      <c r="E76" t="str">
        <f>IF(UserInput!B75=0,"",UserInput!B75)</f>
        <v/>
      </c>
      <c r="G76" s="16"/>
      <c r="H76" s="15" t="str">
        <f>IF(UserInput!D75="","",IF(UserInput!D75=UserInput!D74,"","SET "&amp;UserInput!D75&amp;"TIMESreport '"&amp;UserInput!D75&amp;" TIMESreport'/ "))</f>
        <v/>
      </c>
      <c r="I76" s="15" t="str">
        <f>IF(UserInput!B75=0,"",UserInput!B75)</f>
        <v/>
      </c>
      <c r="J76" s="15" t="str">
        <f>IF(UserInput!C75=0,"","'"&amp;UserInput!C75&amp;"'")</f>
        <v/>
      </c>
      <c r="K76" s="15" t="str">
        <f>IF(I76="","",IF(UserInput!D75=UserInput!D76,"","/ ;"))</f>
        <v/>
      </c>
      <c r="M76" t="str">
        <f t="shared" si="14"/>
        <v/>
      </c>
      <c r="N76" s="13" t="str">
        <f t="shared" si="11"/>
        <v xml:space="preserve"> </v>
      </c>
      <c r="O76" t="str">
        <f t="shared" si="12"/>
        <v/>
      </c>
      <c r="Q76" s="16"/>
      <c r="R76" s="15" t="str">
        <f>IF(UserInput!H75=0,"",IF(UserInput!H75=UserInput!H74,"","SET "&amp;UserInput!H75&amp;"TIMESreport '"&amp;UserInput!H75&amp;" TIMESreport'/ "))</f>
        <v/>
      </c>
      <c r="S76" s="15" t="str">
        <f>IF(UserInput!F75=0,"",UserInput!F75)</f>
        <v/>
      </c>
      <c r="T76" s="15" t="str">
        <f>IF(UserInput!G75=0,"","'"&amp;UserInput!G75&amp;"'")</f>
        <v/>
      </c>
      <c r="U76" s="15" t="str">
        <f>IF(S76="","",IF(UserInput!H75=UserInput!H76,"","/ ;"))</f>
        <v/>
      </c>
      <c r="W76" t="str">
        <f t="shared" si="15"/>
        <v/>
      </c>
      <c r="X76" t="str">
        <f t="shared" si="8"/>
        <v xml:space="preserve"> </v>
      </c>
      <c r="Y76" t="str">
        <f t="shared" si="13"/>
        <v/>
      </c>
    </row>
    <row r="77" spans="1:25" x14ac:dyDescent="0.4">
      <c r="A77" s="16"/>
      <c r="B77" t="str">
        <f t="shared" si="9"/>
        <v/>
      </c>
      <c r="C77" t="str">
        <f>IF(UserInput!B76=0,"",UserInput!B76)</f>
        <v/>
      </c>
      <c r="D77" t="str">
        <f t="shared" si="10"/>
        <v/>
      </c>
      <c r="E77" t="str">
        <f>IF(UserInput!B76=0,"",UserInput!B76)</f>
        <v/>
      </c>
      <c r="G77" s="16"/>
      <c r="H77" s="15" t="str">
        <f>IF(UserInput!D76="","",IF(UserInput!D76=UserInput!D75,"","SET "&amp;UserInput!D76&amp;"TIMESreport '"&amp;UserInput!D76&amp;" TIMESreport'/ "))</f>
        <v/>
      </c>
      <c r="I77" s="15" t="str">
        <f>IF(UserInput!B76=0,"",UserInput!B76)</f>
        <v/>
      </c>
      <c r="J77" s="15" t="str">
        <f>IF(UserInput!C76=0,"","'"&amp;UserInput!C76&amp;"'")</f>
        <v/>
      </c>
      <c r="K77" s="15" t="str">
        <f>IF(I77="","",IF(UserInput!D76=UserInput!D77,"","/ ;"))</f>
        <v/>
      </c>
      <c r="M77" t="str">
        <f t="shared" si="14"/>
        <v/>
      </c>
      <c r="N77" s="13" t="str">
        <f t="shared" si="11"/>
        <v xml:space="preserve"> </v>
      </c>
      <c r="O77" t="str">
        <f t="shared" si="12"/>
        <v/>
      </c>
      <c r="Q77" s="16"/>
      <c r="R77" s="15" t="str">
        <f>IF(UserInput!H76=0,"",IF(UserInput!H76=UserInput!H75,"","SET "&amp;UserInput!H76&amp;"TIMESreport '"&amp;UserInput!H76&amp;" TIMESreport'/ "))</f>
        <v/>
      </c>
      <c r="S77" s="15" t="str">
        <f>IF(UserInput!F76=0,"",UserInput!F76)</f>
        <v/>
      </c>
      <c r="T77" s="15" t="str">
        <f>IF(UserInput!G76=0,"","'"&amp;UserInput!G76&amp;"'")</f>
        <v/>
      </c>
      <c r="U77" s="15" t="str">
        <f>IF(S77="","",IF(UserInput!H76=UserInput!H77,"","/ ;"))</f>
        <v/>
      </c>
      <c r="W77" t="str">
        <f t="shared" si="15"/>
        <v/>
      </c>
      <c r="X77" t="str">
        <f t="shared" si="8"/>
        <v xml:space="preserve"> </v>
      </c>
      <c r="Y77" t="str">
        <f t="shared" si="13"/>
        <v/>
      </c>
    </row>
    <row r="78" spans="1:25" x14ac:dyDescent="0.4">
      <c r="A78" s="16"/>
      <c r="B78" t="str">
        <f t="shared" si="9"/>
        <v/>
      </c>
      <c r="C78" t="str">
        <f>IF(UserInput!B77=0,"",UserInput!B77)</f>
        <v/>
      </c>
      <c r="D78" t="str">
        <f t="shared" si="10"/>
        <v/>
      </c>
      <c r="E78" t="str">
        <f>IF(UserInput!B77=0,"",UserInput!B77)</f>
        <v/>
      </c>
      <c r="G78" s="16"/>
      <c r="H78" s="15" t="str">
        <f>IF(UserInput!D77="","",IF(UserInput!D77=UserInput!D76,"","SET "&amp;UserInput!D77&amp;"TIMESreport '"&amp;UserInput!D77&amp;" TIMESreport'/ "))</f>
        <v/>
      </c>
      <c r="I78" s="15" t="str">
        <f>IF(UserInput!B77=0,"",UserInput!B77)</f>
        <v/>
      </c>
      <c r="J78" s="15" t="str">
        <f>IF(UserInput!C77=0,"","'"&amp;UserInput!C77&amp;"'")</f>
        <v/>
      </c>
      <c r="K78" s="15" t="str">
        <f>IF(I78="","",IF(UserInput!D77=UserInput!D78,"","/ ;"))</f>
        <v/>
      </c>
      <c r="M78" t="str">
        <f t="shared" si="14"/>
        <v/>
      </c>
      <c r="N78" s="13" t="str">
        <f t="shared" si="11"/>
        <v xml:space="preserve"> </v>
      </c>
      <c r="O78" t="str">
        <f t="shared" si="12"/>
        <v/>
      </c>
      <c r="Q78" s="16"/>
      <c r="R78" s="15" t="str">
        <f>IF(UserInput!H77=0,"",IF(UserInput!H77=UserInput!H76,"","SET "&amp;UserInput!H77&amp;"TIMESreport '"&amp;UserInput!H77&amp;" TIMESreport'/ "))</f>
        <v/>
      </c>
      <c r="S78" s="15" t="str">
        <f>IF(UserInput!F77=0,"",UserInput!F77)</f>
        <v/>
      </c>
      <c r="T78" s="15" t="str">
        <f>IF(UserInput!G77=0,"","'"&amp;UserInput!G77&amp;"'")</f>
        <v/>
      </c>
      <c r="U78" s="15" t="str">
        <f>IF(S78="","",IF(UserInput!H77=UserInput!H78,"","/ ;"))</f>
        <v/>
      </c>
      <c r="W78" t="str">
        <f t="shared" si="15"/>
        <v/>
      </c>
      <c r="X78" t="str">
        <f t="shared" si="8"/>
        <v xml:space="preserve"> </v>
      </c>
      <c r="Y78" t="str">
        <f t="shared" si="13"/>
        <v/>
      </c>
    </row>
    <row r="79" spans="1:25" x14ac:dyDescent="0.4">
      <c r="A79" s="16"/>
      <c r="B79" t="str">
        <f t="shared" si="9"/>
        <v/>
      </c>
      <c r="C79" t="str">
        <f>IF(UserInput!B78=0,"",UserInput!B78)</f>
        <v/>
      </c>
      <c r="D79" t="str">
        <f t="shared" si="10"/>
        <v/>
      </c>
      <c r="E79" t="str">
        <f>IF(UserInput!B78=0,"",UserInput!B78)</f>
        <v/>
      </c>
      <c r="G79" s="16"/>
      <c r="H79" s="15" t="str">
        <f>IF(UserInput!D78="","",IF(UserInput!D78=UserInput!D77,"","SET "&amp;UserInput!D78&amp;"TIMESreport '"&amp;UserInput!D78&amp;" TIMESreport'/ "))</f>
        <v/>
      </c>
      <c r="I79" s="15" t="str">
        <f>IF(UserInput!B78=0,"",UserInput!B78)</f>
        <v/>
      </c>
      <c r="J79" s="15" t="str">
        <f>IF(UserInput!C78=0,"","'"&amp;UserInput!C78&amp;"'")</f>
        <v/>
      </c>
      <c r="K79" s="15" t="str">
        <f>IF(I79="","",IF(UserInput!D78=UserInput!D79,"","/ ;"))</f>
        <v/>
      </c>
      <c r="M79" t="str">
        <f t="shared" si="14"/>
        <v/>
      </c>
      <c r="N79" s="13" t="str">
        <f t="shared" si="11"/>
        <v xml:space="preserve"> </v>
      </c>
      <c r="O79" t="str">
        <f t="shared" si="12"/>
        <v/>
      </c>
      <c r="Q79" s="16"/>
      <c r="R79" s="15" t="str">
        <f>IF(UserInput!H78=0,"",IF(UserInput!H78=UserInput!H77,"","SET "&amp;UserInput!H78&amp;"TIMESreport '"&amp;UserInput!H78&amp;" TIMESreport'/ "))</f>
        <v/>
      </c>
      <c r="S79" s="15" t="str">
        <f>IF(UserInput!F78=0,"",UserInput!F78)</f>
        <v/>
      </c>
      <c r="T79" s="15" t="str">
        <f>IF(UserInput!G78=0,"","'"&amp;UserInput!G78&amp;"'")</f>
        <v/>
      </c>
      <c r="U79" s="15" t="str">
        <f>IF(S79="","",IF(UserInput!H78=UserInput!H79,"","/ ;"))</f>
        <v/>
      </c>
      <c r="W79" t="str">
        <f t="shared" si="15"/>
        <v/>
      </c>
      <c r="X79" t="str">
        <f t="shared" si="8"/>
        <v xml:space="preserve"> </v>
      </c>
      <c r="Y79" t="str">
        <f t="shared" si="13"/>
        <v/>
      </c>
    </row>
    <row r="80" spans="1:25" x14ac:dyDescent="0.4">
      <c r="A80" s="16"/>
      <c r="B80" t="str">
        <f t="shared" si="9"/>
        <v/>
      </c>
      <c r="C80" t="str">
        <f>IF(UserInput!B79=0,"",UserInput!B79)</f>
        <v/>
      </c>
      <c r="D80" t="str">
        <f t="shared" si="10"/>
        <v/>
      </c>
      <c r="E80" t="str">
        <f>IF(UserInput!B79=0,"",UserInput!B79)</f>
        <v/>
      </c>
      <c r="G80" s="16"/>
      <c r="H80" s="15" t="str">
        <f>IF(UserInput!D79="","",IF(UserInput!D79=UserInput!D78,"","SET "&amp;UserInput!D79&amp;"TIMESreport '"&amp;UserInput!D79&amp;" TIMESreport'/ "))</f>
        <v/>
      </c>
      <c r="I80" s="15" t="str">
        <f>IF(UserInput!B79=0,"",UserInput!B79)</f>
        <v/>
      </c>
      <c r="J80" s="15" t="str">
        <f>IF(UserInput!C79=0,"","'"&amp;UserInput!C79&amp;"'")</f>
        <v/>
      </c>
      <c r="K80" s="15" t="str">
        <f>IF(I80="","",IF(UserInput!D79=UserInput!D80,"","/ ;"))</f>
        <v/>
      </c>
      <c r="M80" t="str">
        <f t="shared" si="14"/>
        <v/>
      </c>
      <c r="N80" s="13" t="str">
        <f t="shared" si="11"/>
        <v xml:space="preserve"> </v>
      </c>
      <c r="O80" t="str">
        <f t="shared" si="12"/>
        <v/>
      </c>
      <c r="Q80" s="16"/>
      <c r="R80" s="15" t="str">
        <f>IF(UserInput!H79=0,"",IF(UserInput!H79=UserInput!H78,"","SET "&amp;UserInput!H79&amp;"TIMESreport '"&amp;UserInput!H79&amp;" TIMESreport'/ "))</f>
        <v/>
      </c>
      <c r="S80" s="15" t="str">
        <f>IF(UserInput!F79=0,"",UserInput!F79)</f>
        <v/>
      </c>
      <c r="T80" s="15" t="str">
        <f>IF(UserInput!G79=0,"","'"&amp;UserInput!G79&amp;"'")</f>
        <v/>
      </c>
      <c r="U80" s="15" t="str">
        <f>IF(S80="","",IF(UserInput!H79=UserInput!H80,"","/ ;"))</f>
        <v/>
      </c>
      <c r="W80" t="str">
        <f t="shared" si="15"/>
        <v/>
      </c>
      <c r="X80" t="str">
        <f t="shared" si="8"/>
        <v xml:space="preserve"> </v>
      </c>
      <c r="Y80" t="str">
        <f t="shared" si="13"/>
        <v/>
      </c>
    </row>
    <row r="81" spans="1:25" x14ac:dyDescent="0.4">
      <c r="A81" s="16"/>
      <c r="B81" t="str">
        <f t="shared" si="9"/>
        <v/>
      </c>
      <c r="C81" t="str">
        <f>IF(UserInput!B80=0,"",UserInput!B80)</f>
        <v/>
      </c>
      <c r="D81" t="str">
        <f t="shared" si="10"/>
        <v/>
      </c>
      <c r="E81" t="str">
        <f>IF(UserInput!B80=0,"",UserInput!B80)</f>
        <v/>
      </c>
      <c r="G81" s="16"/>
      <c r="H81" s="15" t="str">
        <f>IF(UserInput!D80="","",IF(UserInput!D80=UserInput!D79,"","SET "&amp;UserInput!D80&amp;"TIMESreport '"&amp;UserInput!D80&amp;" TIMESreport'/ "))</f>
        <v/>
      </c>
      <c r="I81" s="15" t="str">
        <f>IF(UserInput!B80=0,"",UserInput!B80)</f>
        <v/>
      </c>
      <c r="J81" s="15" t="str">
        <f>IF(UserInput!C80=0,"","'"&amp;UserInput!C80&amp;"'")</f>
        <v/>
      </c>
      <c r="K81" s="15" t="str">
        <f>IF(I81="","",IF(UserInput!D80=UserInput!D81,"","/ ;"))</f>
        <v/>
      </c>
      <c r="M81" t="str">
        <f t="shared" si="14"/>
        <v/>
      </c>
      <c r="N81" s="13" t="str">
        <f t="shared" si="11"/>
        <v xml:space="preserve"> </v>
      </c>
      <c r="O81" t="str">
        <f t="shared" si="12"/>
        <v/>
      </c>
      <c r="Q81" s="16"/>
      <c r="R81" s="15" t="str">
        <f>IF(UserInput!H80=0,"",IF(UserInput!H80=UserInput!H79,"","SET "&amp;UserInput!H80&amp;"TIMESreport '"&amp;UserInput!H80&amp;" TIMESreport'/ "))</f>
        <v/>
      </c>
      <c r="S81" s="15" t="str">
        <f>IF(UserInput!F80=0,"",UserInput!F80)</f>
        <v/>
      </c>
      <c r="T81" s="15" t="str">
        <f>IF(UserInput!G80=0,"","'"&amp;UserInput!G80&amp;"'")</f>
        <v/>
      </c>
      <c r="U81" s="15" t="str">
        <f>IF(S81="","",IF(UserInput!H80=UserInput!H81,"","/ ;"))</f>
        <v/>
      </c>
      <c r="W81" t="str">
        <f t="shared" si="15"/>
        <v/>
      </c>
      <c r="X81" t="str">
        <f t="shared" si="8"/>
        <v xml:space="preserve"> </v>
      </c>
      <c r="Y81" t="str">
        <f t="shared" si="13"/>
        <v/>
      </c>
    </row>
    <row r="82" spans="1:25" x14ac:dyDescent="0.4">
      <c r="A82" s="16"/>
      <c r="B82" t="str">
        <f t="shared" si="9"/>
        <v/>
      </c>
      <c r="C82" t="str">
        <f>IF(UserInput!B81=0,"",UserInput!B81)</f>
        <v/>
      </c>
      <c r="D82" t="str">
        <f t="shared" si="10"/>
        <v/>
      </c>
      <c r="E82" t="str">
        <f>IF(UserInput!B81=0,"",UserInput!B81)</f>
        <v/>
      </c>
      <c r="G82" s="16"/>
      <c r="H82" s="15" t="str">
        <f>IF(UserInput!D81="","",IF(UserInput!D81=UserInput!D80,"","SET "&amp;UserInput!D81&amp;"TIMESreport '"&amp;UserInput!D81&amp;" TIMESreport'/ "))</f>
        <v/>
      </c>
      <c r="I82" s="15" t="str">
        <f>IF(UserInput!B81=0,"",UserInput!B81)</f>
        <v/>
      </c>
      <c r="J82" s="15" t="str">
        <f>IF(UserInput!C81=0,"","'"&amp;UserInput!C81&amp;"'")</f>
        <v/>
      </c>
      <c r="K82" s="15" t="str">
        <f>IF(I82="","",IF(UserInput!D81=UserInput!D82,"","/ ;"))</f>
        <v/>
      </c>
      <c r="M82" t="str">
        <f t="shared" si="14"/>
        <v/>
      </c>
      <c r="N82" s="13" t="str">
        <f t="shared" si="11"/>
        <v xml:space="preserve"> </v>
      </c>
      <c r="O82" t="str">
        <f t="shared" si="12"/>
        <v/>
      </c>
      <c r="Q82" s="16"/>
      <c r="R82" s="15" t="str">
        <f>IF(UserInput!H81=0,"",IF(UserInput!H81=UserInput!H80,"","SET "&amp;UserInput!H81&amp;"TIMESreport '"&amp;UserInput!H81&amp;" TIMESreport'/ "))</f>
        <v/>
      </c>
      <c r="S82" s="15" t="str">
        <f>IF(UserInput!F81=0,"",UserInput!F81)</f>
        <v/>
      </c>
      <c r="T82" s="15" t="str">
        <f>IF(UserInput!G81=0,"","'"&amp;UserInput!G81&amp;"'")</f>
        <v/>
      </c>
      <c r="U82" s="15" t="str">
        <f>IF(S82="","",IF(UserInput!H81=UserInput!H82,"","/ ;"))</f>
        <v/>
      </c>
      <c r="W82" t="str">
        <f t="shared" si="15"/>
        <v/>
      </c>
      <c r="X82" t="str">
        <f t="shared" si="8"/>
        <v xml:space="preserve"> </v>
      </c>
      <c r="Y82" t="str">
        <f t="shared" si="13"/>
        <v/>
      </c>
    </row>
    <row r="83" spans="1:25" x14ac:dyDescent="0.4">
      <c r="A83" s="16"/>
      <c r="B83" t="str">
        <f t="shared" si="9"/>
        <v/>
      </c>
      <c r="C83" t="str">
        <f>IF(UserInput!B82=0,"",UserInput!B82)</f>
        <v/>
      </c>
      <c r="D83" t="str">
        <f t="shared" si="10"/>
        <v/>
      </c>
      <c r="E83" t="str">
        <f>IF(UserInput!B82=0,"",UserInput!B82)</f>
        <v/>
      </c>
      <c r="G83" s="16"/>
      <c r="H83" s="15" t="str">
        <f>IF(UserInput!D82="","",IF(UserInput!D82=UserInput!D81,"","SET "&amp;UserInput!D82&amp;"TIMESreport '"&amp;UserInput!D82&amp;" TIMESreport'/ "))</f>
        <v/>
      </c>
      <c r="I83" s="15" t="str">
        <f>IF(UserInput!B82=0,"",UserInput!B82)</f>
        <v/>
      </c>
      <c r="J83" s="15" t="str">
        <f>IF(UserInput!C82=0,"","'"&amp;UserInput!C82&amp;"'")</f>
        <v/>
      </c>
      <c r="K83" s="15" t="str">
        <f>IF(I83="","",IF(UserInput!D82=UserInput!D83,"","/ ;"))</f>
        <v/>
      </c>
      <c r="M83" t="str">
        <f t="shared" si="14"/>
        <v/>
      </c>
      <c r="N83" s="13" t="str">
        <f t="shared" si="11"/>
        <v xml:space="preserve"> </v>
      </c>
      <c r="O83" t="str">
        <f t="shared" si="12"/>
        <v/>
      </c>
      <c r="Q83" s="16"/>
      <c r="R83" s="15" t="str">
        <f>IF(UserInput!H82=0,"",IF(UserInput!H82=UserInput!H81,"","SET "&amp;UserInput!H82&amp;"TIMESreport '"&amp;UserInput!H82&amp;" TIMESreport'/ "))</f>
        <v/>
      </c>
      <c r="S83" s="15" t="str">
        <f>IF(UserInput!F82=0,"",UserInput!F82)</f>
        <v/>
      </c>
      <c r="T83" s="15" t="str">
        <f>IF(UserInput!G82=0,"","'"&amp;UserInput!G82&amp;"'")</f>
        <v/>
      </c>
      <c r="U83" s="15" t="str">
        <f>IF(S83="","",IF(UserInput!H82=UserInput!H83,"","/ ;"))</f>
        <v/>
      </c>
      <c r="W83" t="str">
        <f t="shared" si="15"/>
        <v/>
      </c>
      <c r="X83" t="str">
        <f t="shared" si="8"/>
        <v xml:space="preserve"> </v>
      </c>
      <c r="Y83" t="str">
        <f t="shared" si="13"/>
        <v/>
      </c>
    </row>
    <row r="84" spans="1:25" x14ac:dyDescent="0.4">
      <c r="A84" s="16"/>
      <c r="B84" t="str">
        <f t="shared" si="9"/>
        <v/>
      </c>
      <c r="C84" t="str">
        <f>IF(UserInput!B83=0,"",UserInput!B83)</f>
        <v/>
      </c>
      <c r="D84" t="str">
        <f t="shared" si="10"/>
        <v/>
      </c>
      <c r="E84" t="str">
        <f>IF(UserInput!B83=0,"",UserInput!B83)</f>
        <v/>
      </c>
      <c r="G84" s="16"/>
      <c r="H84" s="15" t="str">
        <f>IF(UserInput!D83="","",IF(UserInput!D83=UserInput!D82,"","SET "&amp;UserInput!D83&amp;"TIMESreport '"&amp;UserInput!D83&amp;" TIMESreport'/ "))</f>
        <v/>
      </c>
      <c r="I84" s="15" t="str">
        <f>IF(UserInput!B83=0,"",UserInput!B83)</f>
        <v/>
      </c>
      <c r="J84" s="15" t="str">
        <f>IF(UserInput!C83=0,"","'"&amp;UserInput!C83&amp;"'")</f>
        <v/>
      </c>
      <c r="K84" s="15" t="str">
        <f>IF(I84="","",IF(UserInput!D83=UserInput!D84,"","/ ;"))</f>
        <v/>
      </c>
      <c r="M84" t="str">
        <f t="shared" si="14"/>
        <v/>
      </c>
      <c r="N84" s="13" t="str">
        <f t="shared" si="11"/>
        <v xml:space="preserve"> </v>
      </c>
      <c r="O84" t="str">
        <f t="shared" si="12"/>
        <v/>
      </c>
      <c r="Q84" s="16"/>
      <c r="R84" s="15" t="str">
        <f>IF(UserInput!H83=0,"",IF(UserInput!H83=UserInput!H82,"","SET "&amp;UserInput!H83&amp;"TIMESreport '"&amp;UserInput!H83&amp;" TIMESreport'/ "))</f>
        <v/>
      </c>
      <c r="S84" s="15" t="str">
        <f>IF(UserInput!F83=0,"",UserInput!F83)</f>
        <v/>
      </c>
      <c r="T84" s="15" t="str">
        <f>IF(UserInput!G83=0,"","'"&amp;UserInput!G83&amp;"'")</f>
        <v/>
      </c>
      <c r="U84" s="15" t="str">
        <f>IF(S84="","",IF(UserInput!H83=UserInput!H84,"","/ ;"))</f>
        <v/>
      </c>
      <c r="W84" t="str">
        <f t="shared" si="15"/>
        <v/>
      </c>
      <c r="X84" t="str">
        <f t="shared" si="8"/>
        <v xml:space="preserve"> </v>
      </c>
      <c r="Y84" t="str">
        <f t="shared" si="13"/>
        <v/>
      </c>
    </row>
    <row r="85" spans="1:25" x14ac:dyDescent="0.4">
      <c r="A85" s="16"/>
      <c r="B85" t="str">
        <f t="shared" si="9"/>
        <v/>
      </c>
      <c r="C85" t="str">
        <f>IF(UserInput!B84=0,"",UserInput!B84)</f>
        <v/>
      </c>
      <c r="D85" t="str">
        <f t="shared" si="10"/>
        <v/>
      </c>
      <c r="E85" t="str">
        <f>IF(UserInput!B84=0,"",UserInput!B84)</f>
        <v/>
      </c>
      <c r="G85" s="16"/>
      <c r="H85" s="15" t="str">
        <f>IF(UserInput!D84="","",IF(UserInput!D84=UserInput!D83,"","SET "&amp;UserInput!D84&amp;"TIMESreport '"&amp;UserInput!D84&amp;" TIMESreport'/ "))</f>
        <v/>
      </c>
      <c r="I85" s="15" t="str">
        <f>IF(UserInput!B84=0,"",UserInput!B84)</f>
        <v/>
      </c>
      <c r="J85" s="15" t="str">
        <f>IF(UserInput!C84=0,"","'"&amp;UserInput!C84&amp;"'")</f>
        <v/>
      </c>
      <c r="K85" s="15" t="str">
        <f>IF(I85="","",IF(UserInput!D84=UserInput!D85,"","/ ;"))</f>
        <v/>
      </c>
      <c r="M85" t="str">
        <f t="shared" si="14"/>
        <v/>
      </c>
      <c r="N85" s="13" t="str">
        <f t="shared" si="11"/>
        <v xml:space="preserve"> </v>
      </c>
      <c r="O85" t="str">
        <f t="shared" si="12"/>
        <v/>
      </c>
      <c r="Q85" s="16"/>
      <c r="R85" s="15" t="str">
        <f>IF(UserInput!H84=0,"",IF(UserInput!H84=UserInput!H83,"","SET "&amp;UserInput!H84&amp;"TIMESreport '"&amp;UserInput!H84&amp;" TIMESreport'/ "))</f>
        <v/>
      </c>
      <c r="S85" s="15" t="str">
        <f>IF(UserInput!F84=0,"",UserInput!F84)</f>
        <v/>
      </c>
      <c r="T85" s="15" t="str">
        <f>IF(UserInput!G84=0,"","'"&amp;UserInput!G84&amp;"'")</f>
        <v/>
      </c>
      <c r="U85" s="15" t="str">
        <f>IF(S85="","",IF(UserInput!H84=UserInput!H85,"","/ ;"))</f>
        <v/>
      </c>
      <c r="W85" t="str">
        <f t="shared" si="15"/>
        <v/>
      </c>
      <c r="X85" t="str">
        <f t="shared" si="8"/>
        <v xml:space="preserve"> </v>
      </c>
      <c r="Y85" t="str">
        <f t="shared" si="13"/>
        <v/>
      </c>
    </row>
    <row r="86" spans="1:25" x14ac:dyDescent="0.4">
      <c r="A86" s="16"/>
      <c r="B86" t="str">
        <f t="shared" si="9"/>
        <v/>
      </c>
      <c r="C86" t="str">
        <f>IF(UserInput!B85=0,"",UserInput!B85)</f>
        <v/>
      </c>
      <c r="D86" t="str">
        <f t="shared" si="10"/>
        <v/>
      </c>
      <c r="E86" t="str">
        <f>IF(UserInput!B85=0,"",UserInput!B85)</f>
        <v/>
      </c>
      <c r="G86" s="16"/>
      <c r="H86" s="15" t="str">
        <f>IF(UserInput!D85="","",IF(UserInput!D85=UserInput!D84,"","SET "&amp;UserInput!D85&amp;"TIMESreport '"&amp;UserInput!D85&amp;" TIMESreport'/ "))</f>
        <v/>
      </c>
      <c r="I86" s="15" t="str">
        <f>IF(UserInput!B85=0,"",UserInput!B85)</f>
        <v/>
      </c>
      <c r="J86" s="15" t="str">
        <f>IF(UserInput!C85=0,"","'"&amp;UserInput!C85&amp;"'")</f>
        <v/>
      </c>
      <c r="K86" s="15" t="str">
        <f>IF(I86="","",IF(UserInput!D85=UserInput!D86,"","/ ;"))</f>
        <v/>
      </c>
      <c r="M86" t="str">
        <f t="shared" si="14"/>
        <v/>
      </c>
      <c r="N86" s="13" t="str">
        <f t="shared" si="11"/>
        <v xml:space="preserve"> </v>
      </c>
      <c r="O86" t="str">
        <f t="shared" si="12"/>
        <v/>
      </c>
      <c r="Q86" s="16"/>
      <c r="R86" s="15" t="str">
        <f>IF(UserInput!H85=0,"",IF(UserInput!H85=UserInput!H84,"","SET "&amp;UserInput!H85&amp;"TIMESreport '"&amp;UserInput!H85&amp;" TIMESreport'/ "))</f>
        <v/>
      </c>
      <c r="S86" s="15" t="str">
        <f>IF(UserInput!F85=0,"",UserInput!F85)</f>
        <v/>
      </c>
      <c r="T86" s="15" t="str">
        <f>IF(UserInput!G85=0,"","'"&amp;UserInput!G85&amp;"'")</f>
        <v/>
      </c>
      <c r="U86" s="15" t="str">
        <f>IF(S86="","",IF(UserInput!H85=UserInput!H86,"","/ ;"))</f>
        <v/>
      </c>
      <c r="W86" t="str">
        <f t="shared" si="15"/>
        <v/>
      </c>
      <c r="X86" t="str">
        <f t="shared" si="8"/>
        <v xml:space="preserve"> </v>
      </c>
      <c r="Y86" t="str">
        <f t="shared" si="13"/>
        <v/>
      </c>
    </row>
    <row r="87" spans="1:25" x14ac:dyDescent="0.4">
      <c r="A87" s="16"/>
      <c r="B87" t="str">
        <f t="shared" si="9"/>
        <v/>
      </c>
      <c r="C87" t="str">
        <f>IF(UserInput!B86=0,"",UserInput!B86)</f>
        <v/>
      </c>
      <c r="D87" t="str">
        <f t="shared" si="10"/>
        <v/>
      </c>
      <c r="E87" t="str">
        <f>IF(UserInput!B86=0,"",UserInput!B86)</f>
        <v/>
      </c>
      <c r="G87" s="16"/>
      <c r="H87" s="15" t="str">
        <f>IF(UserInput!D86="","",IF(UserInput!D86=UserInput!D85,"","SET "&amp;UserInput!D86&amp;"TIMESreport '"&amp;UserInput!D86&amp;" TIMESreport'/ "))</f>
        <v/>
      </c>
      <c r="I87" s="15" t="str">
        <f>IF(UserInput!B86=0,"",UserInput!B86)</f>
        <v/>
      </c>
      <c r="J87" s="15" t="str">
        <f>IF(UserInput!C86=0,"","'"&amp;UserInput!C86&amp;"'")</f>
        <v/>
      </c>
      <c r="K87" s="15" t="str">
        <f>IF(I87="","",IF(UserInput!D86=UserInput!D87,"","/ ;"))</f>
        <v/>
      </c>
      <c r="M87" t="str">
        <f t="shared" si="14"/>
        <v/>
      </c>
      <c r="N87" s="13" t="str">
        <f t="shared" si="11"/>
        <v xml:space="preserve"> </v>
      </c>
      <c r="O87" t="str">
        <f t="shared" si="12"/>
        <v/>
      </c>
      <c r="Q87" s="16"/>
      <c r="R87" s="15" t="str">
        <f>IF(UserInput!H86=0,"",IF(UserInput!H86=UserInput!H85,"","SET "&amp;UserInput!H86&amp;"TIMESreport '"&amp;UserInput!H86&amp;" TIMESreport'/ "))</f>
        <v/>
      </c>
      <c r="S87" s="15" t="str">
        <f>IF(UserInput!F86=0,"",UserInput!F86)</f>
        <v/>
      </c>
      <c r="T87" s="15" t="str">
        <f>IF(UserInput!G86=0,"","'"&amp;UserInput!G86&amp;"'")</f>
        <v/>
      </c>
      <c r="U87" s="15" t="str">
        <f>IF(S87="","",IF(UserInput!H86=UserInput!H87,"","/ ;"))</f>
        <v/>
      </c>
      <c r="W87" t="str">
        <f t="shared" si="15"/>
        <v/>
      </c>
      <c r="X87" t="str">
        <f t="shared" si="8"/>
        <v xml:space="preserve"> </v>
      </c>
      <c r="Y87" t="str">
        <f t="shared" si="13"/>
        <v/>
      </c>
    </row>
    <row r="88" spans="1:25" x14ac:dyDescent="0.4">
      <c r="A88" s="16"/>
      <c r="B88" t="str">
        <f t="shared" si="9"/>
        <v/>
      </c>
      <c r="C88" t="str">
        <f>IF(UserInput!B87=0,"",UserInput!B87)</f>
        <v/>
      </c>
      <c r="D88" t="str">
        <f t="shared" si="10"/>
        <v/>
      </c>
      <c r="E88" t="str">
        <f>IF(UserInput!B87=0,"",UserInput!B87)</f>
        <v/>
      </c>
      <c r="G88" s="16"/>
      <c r="H88" s="15" t="str">
        <f>IF(UserInput!D87="","",IF(UserInput!D87=UserInput!D86,"","SET "&amp;UserInput!D87&amp;"TIMESreport '"&amp;UserInput!D87&amp;" TIMESreport'/ "))</f>
        <v/>
      </c>
      <c r="I88" s="15" t="str">
        <f>IF(UserInput!B87=0,"",UserInput!B87)</f>
        <v/>
      </c>
      <c r="J88" s="15" t="str">
        <f>IF(UserInput!C87=0,"","'"&amp;UserInput!C87&amp;"'")</f>
        <v/>
      </c>
      <c r="K88" s="15" t="str">
        <f>IF(I88="","",IF(UserInput!D87=UserInput!D88,"","/ ;"))</f>
        <v/>
      </c>
      <c r="M88" t="str">
        <f t="shared" si="14"/>
        <v/>
      </c>
      <c r="N88" s="13" t="str">
        <f t="shared" si="11"/>
        <v xml:space="preserve"> </v>
      </c>
      <c r="O88" t="str">
        <f t="shared" si="12"/>
        <v/>
      </c>
      <c r="Q88" s="16"/>
      <c r="R88" s="15" t="str">
        <f>IF(UserInput!H87=0,"",IF(UserInput!H87=UserInput!H86,"","SET "&amp;UserInput!H87&amp;"TIMESreport '"&amp;UserInput!H87&amp;" TIMESreport'/ "))</f>
        <v/>
      </c>
      <c r="S88" s="15" t="str">
        <f>IF(UserInput!F87=0,"",UserInput!F87)</f>
        <v/>
      </c>
      <c r="T88" s="15" t="str">
        <f>IF(UserInput!G87=0,"","'"&amp;UserInput!G87&amp;"'")</f>
        <v/>
      </c>
      <c r="U88" s="15" t="str">
        <f>IF(S88="","",IF(UserInput!H87=UserInput!H88,"","/ ;"))</f>
        <v/>
      </c>
      <c r="W88" t="str">
        <f t="shared" si="15"/>
        <v/>
      </c>
      <c r="X88" t="str">
        <f t="shared" si="8"/>
        <v xml:space="preserve"> </v>
      </c>
      <c r="Y88" t="str">
        <f t="shared" si="13"/>
        <v/>
      </c>
    </row>
    <row r="89" spans="1:25" x14ac:dyDescent="0.4">
      <c r="A89" s="16"/>
      <c r="B89" t="str">
        <f t="shared" si="9"/>
        <v/>
      </c>
      <c r="C89" t="str">
        <f>IF(UserInput!B88=0,"",UserInput!B88)</f>
        <v/>
      </c>
      <c r="D89" t="str">
        <f t="shared" si="10"/>
        <v/>
      </c>
      <c r="E89" t="str">
        <f>IF(UserInput!B88=0,"",UserInput!B88)</f>
        <v/>
      </c>
      <c r="G89" s="16"/>
      <c r="H89" s="15" t="str">
        <f>IF(UserInput!D88="","",IF(UserInput!D88=UserInput!D87,"","SET "&amp;UserInput!D88&amp;"TIMESreport '"&amp;UserInput!D88&amp;" TIMESreport'/ "))</f>
        <v/>
      </c>
      <c r="I89" s="15" t="str">
        <f>IF(UserInput!B88=0,"",UserInput!B88)</f>
        <v/>
      </c>
      <c r="J89" s="15" t="str">
        <f>IF(UserInput!C88=0,"","'"&amp;UserInput!C88&amp;"'")</f>
        <v/>
      </c>
      <c r="K89" s="15" t="str">
        <f>IF(I89="","",IF(UserInput!D88=UserInput!D89,"","/ ;"))</f>
        <v/>
      </c>
      <c r="M89" t="str">
        <f t="shared" si="14"/>
        <v/>
      </c>
      <c r="N89" s="13" t="str">
        <f t="shared" si="11"/>
        <v xml:space="preserve"> </v>
      </c>
      <c r="O89" t="str">
        <f t="shared" si="12"/>
        <v/>
      </c>
      <c r="Q89" s="16"/>
      <c r="R89" s="15" t="str">
        <f>IF(UserInput!H88=0,"",IF(UserInput!H88=UserInput!H87,"","SET "&amp;UserInput!H88&amp;"TIMESreport '"&amp;UserInput!H88&amp;" TIMESreport'/ "))</f>
        <v/>
      </c>
      <c r="S89" s="15" t="str">
        <f>IF(UserInput!F88=0,"",UserInput!F88)</f>
        <v/>
      </c>
      <c r="T89" s="15" t="str">
        <f>IF(UserInput!G88=0,"","'"&amp;UserInput!G88&amp;"'")</f>
        <v/>
      </c>
      <c r="U89" s="15" t="str">
        <f>IF(S89="","",IF(UserInput!H88=UserInput!H89,"","/ ;"))</f>
        <v/>
      </c>
      <c r="W89" t="str">
        <f t="shared" si="15"/>
        <v/>
      </c>
      <c r="X89" t="str">
        <f t="shared" si="8"/>
        <v xml:space="preserve"> </v>
      </c>
      <c r="Y89" t="str">
        <f t="shared" si="13"/>
        <v/>
      </c>
    </row>
    <row r="90" spans="1:25" x14ac:dyDescent="0.4">
      <c r="A90" s="16"/>
      <c r="B90" t="str">
        <f t="shared" si="9"/>
        <v/>
      </c>
      <c r="C90" t="str">
        <f>IF(UserInput!B89=0,"",UserInput!B89)</f>
        <v/>
      </c>
      <c r="D90" t="str">
        <f t="shared" si="10"/>
        <v/>
      </c>
      <c r="E90" t="str">
        <f>IF(UserInput!B89=0,"",UserInput!B89)</f>
        <v/>
      </c>
      <c r="G90" s="16"/>
      <c r="H90" s="15" t="str">
        <f>IF(UserInput!D89="","",IF(UserInput!D89=UserInput!D88,"","SET "&amp;UserInput!D89&amp;"TIMESreport '"&amp;UserInput!D89&amp;" TIMESreport'/ "))</f>
        <v/>
      </c>
      <c r="I90" s="15" t="str">
        <f>IF(UserInput!B89=0,"",UserInput!B89)</f>
        <v/>
      </c>
      <c r="J90" s="15" t="str">
        <f>IF(UserInput!C89=0,"","'"&amp;UserInput!C89&amp;"'")</f>
        <v/>
      </c>
      <c r="K90" s="15" t="str">
        <f>IF(I90="","",IF(UserInput!D89=UserInput!D90,"","/ ;"))</f>
        <v/>
      </c>
      <c r="M90" t="str">
        <f t="shared" si="14"/>
        <v/>
      </c>
      <c r="N90" s="13" t="str">
        <f t="shared" si="11"/>
        <v xml:space="preserve"> </v>
      </c>
      <c r="O90" t="str">
        <f t="shared" si="12"/>
        <v/>
      </c>
      <c r="Q90" s="16"/>
      <c r="R90" s="15" t="str">
        <f>IF(UserInput!H89=0,"",IF(UserInput!H89=UserInput!H88,"","SET "&amp;UserInput!H89&amp;"TIMESreport '"&amp;UserInput!H89&amp;" TIMESreport'/ "))</f>
        <v/>
      </c>
      <c r="S90" s="15" t="str">
        <f>IF(UserInput!F89=0,"",UserInput!F89)</f>
        <v/>
      </c>
      <c r="T90" s="15" t="str">
        <f>IF(UserInput!G89=0,"","'"&amp;UserInput!G89&amp;"'")</f>
        <v/>
      </c>
      <c r="U90" s="15" t="str">
        <f>IF(S90="","",IF(UserInput!H89=UserInput!H90,"","/ ;"))</f>
        <v/>
      </c>
      <c r="W90" t="str">
        <f t="shared" si="15"/>
        <v/>
      </c>
      <c r="X90" t="str">
        <f t="shared" si="8"/>
        <v xml:space="preserve"> </v>
      </c>
      <c r="Y90" t="str">
        <f t="shared" si="13"/>
        <v/>
      </c>
    </row>
    <row r="91" spans="1:25" x14ac:dyDescent="0.4">
      <c r="A91" s="16"/>
      <c r="B91" t="str">
        <f t="shared" si="9"/>
        <v/>
      </c>
      <c r="C91" t="str">
        <f>IF(UserInput!B90=0,"",UserInput!B90)</f>
        <v/>
      </c>
      <c r="D91" t="str">
        <f t="shared" si="10"/>
        <v/>
      </c>
      <c r="E91" t="str">
        <f>IF(UserInput!B90=0,"",UserInput!B90)</f>
        <v/>
      </c>
      <c r="G91" s="16"/>
      <c r="H91" s="15" t="str">
        <f>IF(UserInput!D90="","",IF(UserInput!D90=UserInput!D89,"","SET "&amp;UserInput!D90&amp;"TIMESreport '"&amp;UserInput!D90&amp;" TIMESreport'/ "))</f>
        <v/>
      </c>
      <c r="I91" s="15" t="str">
        <f>IF(UserInput!B90=0,"",UserInput!B90)</f>
        <v/>
      </c>
      <c r="J91" s="15" t="str">
        <f>IF(UserInput!C90=0,"","'"&amp;UserInput!C90&amp;"'")</f>
        <v/>
      </c>
      <c r="K91" s="15" t="str">
        <f>IF(I91="","",IF(UserInput!D90=UserInput!D91,"","/ ;"))</f>
        <v/>
      </c>
      <c r="M91" t="str">
        <f t="shared" si="14"/>
        <v/>
      </c>
      <c r="N91" s="13" t="str">
        <f t="shared" si="11"/>
        <v xml:space="preserve"> </v>
      </c>
      <c r="O91" t="str">
        <f t="shared" si="12"/>
        <v/>
      </c>
      <c r="Q91" s="16"/>
      <c r="R91" s="15" t="str">
        <f>IF(UserInput!H90=0,"",IF(UserInput!H90=UserInput!H89,"","SET "&amp;UserInput!H90&amp;"TIMESreport '"&amp;UserInput!H90&amp;" TIMESreport'/ "))</f>
        <v/>
      </c>
      <c r="S91" s="15" t="str">
        <f>IF(UserInput!F90=0,"",UserInput!F90)</f>
        <v/>
      </c>
      <c r="T91" s="15" t="str">
        <f>IF(UserInput!G90=0,"","'"&amp;UserInput!G90&amp;"'")</f>
        <v/>
      </c>
      <c r="U91" s="15" t="str">
        <f>IF(S91="","",IF(UserInput!H90=UserInput!H91,"","/ ;"))</f>
        <v/>
      </c>
      <c r="W91" t="str">
        <f t="shared" si="15"/>
        <v/>
      </c>
      <c r="X91" t="str">
        <f t="shared" si="8"/>
        <v xml:space="preserve"> </v>
      </c>
      <c r="Y91" t="str">
        <f t="shared" si="13"/>
        <v/>
      </c>
    </row>
    <row r="92" spans="1:25" x14ac:dyDescent="0.4">
      <c r="A92" s="16"/>
      <c r="B92" t="str">
        <f t="shared" si="9"/>
        <v/>
      </c>
      <c r="C92" t="str">
        <f>IF(UserInput!B91=0,"",UserInput!B91)</f>
        <v/>
      </c>
      <c r="D92" t="str">
        <f t="shared" si="10"/>
        <v/>
      </c>
      <c r="E92" t="str">
        <f>IF(UserInput!B91=0,"",UserInput!B91)</f>
        <v/>
      </c>
      <c r="G92" s="16"/>
      <c r="H92" s="15" t="str">
        <f>IF(UserInput!D91="","",IF(UserInput!D91=UserInput!D90,"","SET "&amp;UserInput!D91&amp;"TIMESreport '"&amp;UserInput!D91&amp;" TIMESreport'/ "))</f>
        <v/>
      </c>
      <c r="I92" s="15" t="str">
        <f>IF(UserInput!B91=0,"",UserInput!B91)</f>
        <v/>
      </c>
      <c r="J92" s="15" t="str">
        <f>IF(UserInput!C91=0,"","'"&amp;UserInput!C91&amp;"'")</f>
        <v/>
      </c>
      <c r="K92" s="15" t="str">
        <f>IF(I92="","",IF(UserInput!D91=UserInput!D92,"","/ ;"))</f>
        <v/>
      </c>
      <c r="M92" t="str">
        <f t="shared" si="14"/>
        <v/>
      </c>
      <c r="N92" s="13" t="str">
        <f t="shared" si="11"/>
        <v xml:space="preserve"> </v>
      </c>
      <c r="O92" t="str">
        <f t="shared" si="12"/>
        <v/>
      </c>
      <c r="Q92" s="16"/>
      <c r="R92" s="15" t="str">
        <f>IF(UserInput!H91=0,"",IF(UserInput!H91=UserInput!H90,"","SET "&amp;UserInput!H91&amp;"TIMESreport '"&amp;UserInput!H91&amp;" TIMESreport'/ "))</f>
        <v/>
      </c>
      <c r="S92" s="15" t="str">
        <f>IF(UserInput!F91=0,"",UserInput!F91)</f>
        <v/>
      </c>
      <c r="T92" s="15" t="str">
        <f>IF(UserInput!G91=0,"","'"&amp;UserInput!G91&amp;"'")</f>
        <v/>
      </c>
      <c r="U92" s="15" t="str">
        <f>IF(S92="","",IF(UserInput!H91=UserInput!H92,"","/ ;"))</f>
        <v/>
      </c>
      <c r="W92" t="str">
        <f t="shared" si="15"/>
        <v/>
      </c>
      <c r="X92" t="str">
        <f t="shared" si="8"/>
        <v xml:space="preserve"> </v>
      </c>
      <c r="Y92" t="str">
        <f t="shared" si="13"/>
        <v/>
      </c>
    </row>
    <row r="93" spans="1:25" x14ac:dyDescent="0.4">
      <c r="A93" s="16"/>
      <c r="B93" t="str">
        <f t="shared" si="9"/>
        <v/>
      </c>
      <c r="C93" t="str">
        <f>IF(UserInput!B92=0,"",UserInput!B92)</f>
        <v/>
      </c>
      <c r="D93" t="str">
        <f t="shared" si="10"/>
        <v/>
      </c>
      <c r="E93" t="str">
        <f>IF(UserInput!B92=0,"",UserInput!B92)</f>
        <v/>
      </c>
      <c r="G93" s="16"/>
      <c r="H93" s="15" t="str">
        <f>IF(UserInput!D92="","",IF(UserInput!D92=UserInput!D91,"","SET "&amp;UserInput!D92&amp;"TIMESreport '"&amp;UserInput!D92&amp;" TIMESreport'/ "))</f>
        <v/>
      </c>
      <c r="I93" s="15" t="str">
        <f>IF(UserInput!B92=0,"",UserInput!B92)</f>
        <v/>
      </c>
      <c r="J93" s="15" t="str">
        <f>IF(UserInput!C92=0,"","'"&amp;UserInput!C92&amp;"'")</f>
        <v/>
      </c>
      <c r="K93" s="15" t="str">
        <f>IF(I93="","",IF(UserInput!D92=UserInput!D93,"","/ ;"))</f>
        <v/>
      </c>
      <c r="M93" t="str">
        <f t="shared" si="14"/>
        <v/>
      </c>
      <c r="N93" s="13" t="str">
        <f t="shared" si="11"/>
        <v xml:space="preserve"> </v>
      </c>
      <c r="O93" t="str">
        <f t="shared" si="12"/>
        <v/>
      </c>
      <c r="Q93" s="16"/>
      <c r="R93" s="15" t="str">
        <f>IF(UserInput!H92=0,"",IF(UserInput!H92=UserInput!H91,"","SET "&amp;UserInput!H92&amp;"TIMESreport '"&amp;UserInput!H92&amp;" TIMESreport'/ "))</f>
        <v/>
      </c>
      <c r="S93" s="15" t="str">
        <f>IF(UserInput!F92=0,"",UserInput!F92)</f>
        <v/>
      </c>
      <c r="T93" s="15" t="str">
        <f>IF(UserInput!G92=0,"","'"&amp;UserInput!G92&amp;"'")</f>
        <v/>
      </c>
      <c r="U93" s="15" t="str">
        <f>IF(S93="","",IF(UserInput!H92=UserInput!H93,"","/ ;"))</f>
        <v/>
      </c>
      <c r="W93" t="str">
        <f t="shared" si="15"/>
        <v/>
      </c>
      <c r="X93" t="str">
        <f t="shared" si="8"/>
        <v xml:space="preserve"> </v>
      </c>
      <c r="Y93" t="str">
        <f t="shared" si="13"/>
        <v/>
      </c>
    </row>
    <row r="94" spans="1:25" x14ac:dyDescent="0.4">
      <c r="A94" s="16"/>
      <c r="B94" t="str">
        <f t="shared" si="9"/>
        <v/>
      </c>
      <c r="C94" t="str">
        <f>IF(UserInput!B93=0,"",UserInput!B93)</f>
        <v/>
      </c>
      <c r="D94" t="str">
        <f t="shared" si="10"/>
        <v/>
      </c>
      <c r="E94" t="str">
        <f>IF(UserInput!B93=0,"",UserInput!B93)</f>
        <v/>
      </c>
      <c r="G94" s="16"/>
      <c r="H94" s="15" t="str">
        <f>IF(UserInput!D93="","",IF(UserInput!D93=UserInput!D92,"","SET "&amp;UserInput!D93&amp;"TIMESreport '"&amp;UserInput!D93&amp;" TIMESreport'/ "))</f>
        <v/>
      </c>
      <c r="I94" s="15" t="str">
        <f>IF(UserInput!B93=0,"",UserInput!B93)</f>
        <v/>
      </c>
      <c r="J94" s="15" t="str">
        <f>IF(UserInput!C93=0,"","'"&amp;UserInput!C93&amp;"'")</f>
        <v/>
      </c>
      <c r="K94" s="15" t="str">
        <f>IF(I94="","",IF(UserInput!D93=UserInput!D94,"","/ ;"))</f>
        <v/>
      </c>
      <c r="M94" t="str">
        <f t="shared" si="14"/>
        <v/>
      </c>
      <c r="N94" s="13" t="str">
        <f t="shared" si="11"/>
        <v xml:space="preserve"> </v>
      </c>
      <c r="O94" t="str">
        <f t="shared" si="12"/>
        <v/>
      </c>
      <c r="Q94" s="16"/>
      <c r="R94" s="15" t="str">
        <f>IF(UserInput!H93=0,"",IF(UserInput!H93=UserInput!H92,"","SET "&amp;UserInput!H93&amp;"TIMESreport '"&amp;UserInput!H93&amp;" TIMESreport'/ "))</f>
        <v/>
      </c>
      <c r="S94" s="15" t="str">
        <f>IF(UserInput!F93=0,"",UserInput!F93)</f>
        <v/>
      </c>
      <c r="T94" s="15" t="str">
        <f>IF(UserInput!G93=0,"","'"&amp;UserInput!G93&amp;"'")</f>
        <v/>
      </c>
      <c r="U94" s="15" t="str">
        <f>IF(S94="","",IF(UserInput!H93=UserInput!H94,"","/ ;"))</f>
        <v/>
      </c>
      <c r="W94" t="str">
        <f t="shared" si="15"/>
        <v/>
      </c>
      <c r="X94" t="str">
        <f t="shared" si="8"/>
        <v xml:space="preserve"> </v>
      </c>
      <c r="Y94" t="str">
        <f t="shared" si="13"/>
        <v/>
      </c>
    </row>
    <row r="95" spans="1:25" x14ac:dyDescent="0.4">
      <c r="A95" s="16"/>
      <c r="B95" t="str">
        <f t="shared" si="9"/>
        <v/>
      </c>
      <c r="C95" t="str">
        <f>IF(UserInput!B94=0,"",UserInput!B94)</f>
        <v/>
      </c>
      <c r="D95" t="str">
        <f t="shared" si="10"/>
        <v/>
      </c>
      <c r="E95" t="str">
        <f>IF(UserInput!B94=0,"",UserInput!B94)</f>
        <v/>
      </c>
      <c r="G95" s="16"/>
      <c r="H95" s="15" t="str">
        <f>IF(UserInput!D94="","",IF(UserInput!D94=UserInput!D93,"","SET "&amp;UserInput!D94&amp;"TIMESreport '"&amp;UserInput!D94&amp;" TIMESreport'/ "))</f>
        <v/>
      </c>
      <c r="I95" s="15" t="str">
        <f>IF(UserInput!B94=0,"",UserInput!B94)</f>
        <v/>
      </c>
      <c r="J95" s="15" t="str">
        <f>IF(UserInput!C94=0,"","'"&amp;UserInput!C94&amp;"'")</f>
        <v/>
      </c>
      <c r="K95" s="15" t="str">
        <f>IF(I95="","",IF(UserInput!D94=UserInput!D95,"","/ ;"))</f>
        <v/>
      </c>
      <c r="M95" t="str">
        <f t="shared" si="14"/>
        <v/>
      </c>
      <c r="N95" s="13" t="str">
        <f t="shared" si="11"/>
        <v xml:space="preserve"> </v>
      </c>
      <c r="O95" t="str">
        <f t="shared" si="12"/>
        <v/>
      </c>
      <c r="Q95" s="16"/>
      <c r="R95" s="15" t="str">
        <f>IF(UserInput!H94=0,"",IF(UserInput!H94=UserInput!H93,"","SET "&amp;UserInput!H94&amp;"TIMESreport '"&amp;UserInput!H94&amp;" TIMESreport'/ "))</f>
        <v/>
      </c>
      <c r="S95" s="15" t="str">
        <f>IF(UserInput!F94=0,"",UserInput!F94)</f>
        <v/>
      </c>
      <c r="T95" s="15" t="str">
        <f>IF(UserInput!G94=0,"","'"&amp;UserInput!G94&amp;"'")</f>
        <v/>
      </c>
      <c r="U95" s="15" t="str">
        <f>IF(S95="","",IF(UserInput!H94=UserInput!H95,"","/ ;"))</f>
        <v/>
      </c>
      <c r="W95" t="str">
        <f t="shared" si="15"/>
        <v/>
      </c>
      <c r="X95" t="str">
        <f t="shared" si="8"/>
        <v xml:space="preserve"> </v>
      </c>
      <c r="Y95" t="str">
        <f t="shared" si="13"/>
        <v/>
      </c>
    </row>
    <row r="96" spans="1:25" x14ac:dyDescent="0.4">
      <c r="A96" s="16"/>
      <c r="B96" t="str">
        <f t="shared" si="9"/>
        <v/>
      </c>
      <c r="C96" t="str">
        <f>IF(UserInput!B95=0,"",UserInput!B95)</f>
        <v/>
      </c>
      <c r="D96" t="str">
        <f t="shared" si="10"/>
        <v/>
      </c>
      <c r="E96" t="str">
        <f>IF(UserInput!B95=0,"",UserInput!B95)</f>
        <v/>
      </c>
      <c r="G96" s="16"/>
      <c r="H96" s="15" t="str">
        <f>IF(UserInput!D95="","",IF(UserInput!D95=UserInput!D94,"","SET "&amp;UserInput!D95&amp;"TIMESreport '"&amp;UserInput!D95&amp;" TIMESreport'/ "))</f>
        <v/>
      </c>
      <c r="I96" s="15" t="str">
        <f>IF(UserInput!B95=0,"",UserInput!B95)</f>
        <v/>
      </c>
      <c r="J96" s="15" t="str">
        <f>IF(UserInput!C95=0,"","'"&amp;UserInput!C95&amp;"'")</f>
        <v/>
      </c>
      <c r="K96" s="15" t="str">
        <f>IF(I96="","",IF(UserInput!D95=UserInput!D96,"","/ ;"))</f>
        <v/>
      </c>
      <c r="M96" t="str">
        <f t="shared" si="14"/>
        <v/>
      </c>
      <c r="N96" s="13" t="str">
        <f t="shared" si="11"/>
        <v xml:space="preserve"> </v>
      </c>
      <c r="O96" t="str">
        <f t="shared" si="12"/>
        <v/>
      </c>
      <c r="Q96" s="16"/>
      <c r="R96" s="15" t="str">
        <f>IF(UserInput!H95=0,"",IF(UserInput!H95=UserInput!H94,"","SET "&amp;UserInput!H95&amp;"TIMESreport '"&amp;UserInput!H95&amp;" TIMESreport'/ "))</f>
        <v/>
      </c>
      <c r="S96" s="15" t="str">
        <f>IF(UserInput!F95=0,"",UserInput!F95)</f>
        <v/>
      </c>
      <c r="T96" s="15" t="str">
        <f>IF(UserInput!G95=0,"","'"&amp;UserInput!G95&amp;"'")</f>
        <v/>
      </c>
      <c r="U96" s="15" t="str">
        <f>IF(S96="","",IF(UserInput!H95=UserInput!H96,"","/ ;"))</f>
        <v/>
      </c>
      <c r="W96" t="str">
        <f t="shared" si="15"/>
        <v/>
      </c>
      <c r="X96" t="str">
        <f t="shared" si="8"/>
        <v xml:space="preserve"> </v>
      </c>
      <c r="Y96" t="str">
        <f t="shared" si="13"/>
        <v/>
      </c>
    </row>
    <row r="97" spans="1:25" x14ac:dyDescent="0.4">
      <c r="A97" s="16"/>
      <c r="B97" t="str">
        <f t="shared" si="9"/>
        <v/>
      </c>
      <c r="C97" t="str">
        <f>IF(UserInput!B96=0,"",UserInput!B96)</f>
        <v/>
      </c>
      <c r="D97" t="str">
        <f t="shared" si="10"/>
        <v/>
      </c>
      <c r="E97" t="str">
        <f>IF(UserInput!B96=0,"",UserInput!B96)</f>
        <v/>
      </c>
      <c r="G97" s="16"/>
      <c r="H97" s="15" t="str">
        <f>IF(UserInput!D96="","",IF(UserInput!D96=UserInput!D95,"","SET "&amp;UserInput!D96&amp;"TIMESreport '"&amp;UserInput!D96&amp;" TIMESreport'/ "))</f>
        <v/>
      </c>
      <c r="I97" s="15" t="str">
        <f>IF(UserInput!B96=0,"",UserInput!B96)</f>
        <v/>
      </c>
      <c r="J97" s="15" t="str">
        <f>IF(UserInput!C96=0,"","'"&amp;UserInput!C96&amp;"'")</f>
        <v/>
      </c>
      <c r="K97" s="15" t="str">
        <f>IF(I97="","",IF(UserInput!D96=UserInput!D97,"","/ ;"))</f>
        <v/>
      </c>
      <c r="M97" t="str">
        <f t="shared" si="14"/>
        <v/>
      </c>
      <c r="N97" s="13" t="str">
        <f t="shared" si="11"/>
        <v xml:space="preserve"> </v>
      </c>
      <c r="O97" t="str">
        <f t="shared" si="12"/>
        <v/>
      </c>
      <c r="Q97" s="16"/>
      <c r="R97" s="15" t="str">
        <f>IF(UserInput!H96=0,"",IF(UserInput!H96=UserInput!H95,"","SET "&amp;UserInput!H96&amp;"TIMESreport '"&amp;UserInput!H96&amp;" TIMESreport'/ "))</f>
        <v/>
      </c>
      <c r="S97" s="15" t="str">
        <f>IF(UserInput!F96=0,"",UserInput!F96)</f>
        <v/>
      </c>
      <c r="T97" s="15" t="str">
        <f>IF(UserInput!G96=0,"","'"&amp;UserInput!G96&amp;"'")</f>
        <v/>
      </c>
      <c r="U97" s="15" t="str">
        <f>IF(S97="","",IF(UserInput!H96=UserInput!H97,"","/ ;"))</f>
        <v/>
      </c>
      <c r="W97" t="str">
        <f t="shared" si="15"/>
        <v/>
      </c>
      <c r="X97" t="str">
        <f t="shared" si="8"/>
        <v xml:space="preserve"> </v>
      </c>
      <c r="Y97" t="str">
        <f t="shared" si="13"/>
        <v/>
      </c>
    </row>
    <row r="98" spans="1:25" x14ac:dyDescent="0.4">
      <c r="A98" s="16"/>
      <c r="B98" t="str">
        <f t="shared" si="9"/>
        <v/>
      </c>
      <c r="C98" t="str">
        <f>IF(UserInput!B97=0,"",UserInput!B97)</f>
        <v/>
      </c>
      <c r="D98" t="str">
        <f t="shared" si="10"/>
        <v/>
      </c>
      <c r="E98" t="str">
        <f>IF(UserInput!B97=0,"",UserInput!B97)</f>
        <v/>
      </c>
      <c r="G98" s="16"/>
      <c r="H98" s="15" t="str">
        <f>IF(UserInput!D97="","",IF(UserInput!D97=UserInput!D96,"","SET "&amp;UserInput!D97&amp;"TIMESreport '"&amp;UserInput!D97&amp;" TIMESreport'/ "))</f>
        <v/>
      </c>
      <c r="I98" s="15" t="str">
        <f>IF(UserInput!B97=0,"",UserInput!B97)</f>
        <v/>
      </c>
      <c r="J98" s="15" t="str">
        <f>IF(UserInput!C97=0,"","'"&amp;UserInput!C97&amp;"'")</f>
        <v/>
      </c>
      <c r="K98" s="15" t="str">
        <f>IF(I98="","",IF(UserInput!D97=UserInput!D98,"","/ ;"))</f>
        <v/>
      </c>
      <c r="M98" t="str">
        <f t="shared" si="14"/>
        <v/>
      </c>
      <c r="N98" s="13" t="str">
        <f t="shared" si="11"/>
        <v xml:space="preserve"> </v>
      </c>
      <c r="O98" t="str">
        <f t="shared" si="12"/>
        <v/>
      </c>
      <c r="Q98" s="16"/>
      <c r="R98" s="15" t="str">
        <f>IF(UserInput!H97=0,"",IF(UserInput!H97=UserInput!H96,"","SET "&amp;UserInput!H97&amp;"TIMESreport '"&amp;UserInput!H97&amp;" TIMESreport'/ "))</f>
        <v/>
      </c>
      <c r="S98" s="15" t="str">
        <f>IF(UserInput!F97=0,"",UserInput!F97)</f>
        <v/>
      </c>
      <c r="T98" s="15" t="str">
        <f>IF(UserInput!G97=0,"","'"&amp;UserInput!G97&amp;"'")</f>
        <v/>
      </c>
      <c r="U98" s="15" t="str">
        <f>IF(S98="","",IF(UserInput!H97=UserInput!H98,"","/ ;"))</f>
        <v/>
      </c>
      <c r="W98" t="str">
        <f t="shared" si="15"/>
        <v/>
      </c>
      <c r="X98" t="str">
        <f t="shared" si="8"/>
        <v xml:space="preserve"> </v>
      </c>
      <c r="Y98" t="str">
        <f t="shared" si="13"/>
        <v/>
      </c>
    </row>
    <row r="99" spans="1:25" x14ac:dyDescent="0.4">
      <c r="A99" s="16"/>
      <c r="B99" t="str">
        <f t="shared" si="9"/>
        <v/>
      </c>
      <c r="C99" t="str">
        <f>IF(UserInput!B98=0,"",UserInput!B98)</f>
        <v/>
      </c>
      <c r="D99" t="str">
        <f t="shared" si="10"/>
        <v/>
      </c>
      <c r="E99" t="str">
        <f>IF(UserInput!B98=0,"",UserInput!B98)</f>
        <v/>
      </c>
      <c r="G99" s="16"/>
      <c r="H99" s="15" t="str">
        <f>IF(UserInput!D98="","",IF(UserInput!D98=UserInput!D97,"","SET "&amp;UserInput!D98&amp;"TIMESreport '"&amp;UserInput!D98&amp;" TIMESreport'/ "))</f>
        <v/>
      </c>
      <c r="I99" s="15" t="str">
        <f>IF(UserInput!B98=0,"",UserInput!B98)</f>
        <v/>
      </c>
      <c r="J99" s="15" t="str">
        <f>IF(UserInput!C98=0,"","'"&amp;UserInput!C98&amp;"'")</f>
        <v/>
      </c>
      <c r="K99" s="15" t="str">
        <f>IF(I99="","",IF(UserInput!D98=UserInput!D99,"","/ ;"))</f>
        <v/>
      </c>
      <c r="M99" t="str">
        <f t="shared" si="14"/>
        <v/>
      </c>
      <c r="N99" s="13" t="str">
        <f t="shared" si="11"/>
        <v xml:space="preserve"> </v>
      </c>
      <c r="O99" t="str">
        <f t="shared" si="12"/>
        <v/>
      </c>
      <c r="Q99" s="16"/>
      <c r="R99" s="15" t="str">
        <f>IF(UserInput!H98=0,"",IF(UserInput!H98=UserInput!H97,"","SET "&amp;UserInput!H98&amp;"TIMESreport '"&amp;UserInput!H98&amp;" TIMESreport'/ "))</f>
        <v/>
      </c>
      <c r="S99" s="15" t="str">
        <f>IF(UserInput!F98=0,"",UserInput!F98)</f>
        <v/>
      </c>
      <c r="T99" s="15" t="str">
        <f>IF(UserInput!G98=0,"","'"&amp;UserInput!G98&amp;"'")</f>
        <v/>
      </c>
      <c r="U99" s="15" t="str">
        <f>IF(S99="","",IF(UserInput!H98=UserInput!H99,"","/ ;"))</f>
        <v/>
      </c>
      <c r="W99" t="str">
        <f t="shared" si="15"/>
        <v/>
      </c>
      <c r="X99" t="str">
        <f t="shared" si="8"/>
        <v xml:space="preserve"> </v>
      </c>
      <c r="Y99" t="str">
        <f t="shared" si="13"/>
        <v/>
      </c>
    </row>
    <row r="100" spans="1:25" x14ac:dyDescent="0.4">
      <c r="A100" s="16"/>
      <c r="B100" t="str">
        <f t="shared" si="9"/>
        <v/>
      </c>
      <c r="C100" t="str">
        <f>IF(UserInput!B99=0,"",UserInput!B99)</f>
        <v/>
      </c>
      <c r="D100" t="str">
        <f t="shared" si="10"/>
        <v/>
      </c>
      <c r="E100" t="str">
        <f>IF(UserInput!B99=0,"",UserInput!B99)</f>
        <v/>
      </c>
      <c r="G100" s="16"/>
      <c r="H100" s="15" t="str">
        <f>IF(UserInput!D99="","",IF(UserInput!D99=UserInput!D98,"","SET "&amp;UserInput!D99&amp;"TIMESreport '"&amp;UserInput!D99&amp;" TIMESreport'/ "))</f>
        <v/>
      </c>
      <c r="I100" s="15" t="str">
        <f>IF(UserInput!B99=0,"",UserInput!B99)</f>
        <v/>
      </c>
      <c r="J100" s="15" t="str">
        <f>IF(UserInput!C99=0,"","'"&amp;UserInput!C99&amp;"'")</f>
        <v/>
      </c>
      <c r="K100" s="15" t="str">
        <f>IF(I100="","",IF(UserInput!D99=UserInput!D100,"","/ ;"))</f>
        <v/>
      </c>
      <c r="M100" t="str">
        <f t="shared" si="14"/>
        <v/>
      </c>
      <c r="N100" s="13" t="str">
        <f t="shared" si="11"/>
        <v xml:space="preserve"> </v>
      </c>
      <c r="O100" t="str">
        <f t="shared" si="12"/>
        <v/>
      </c>
      <c r="Q100" s="16"/>
      <c r="R100" s="15" t="str">
        <f>IF(UserInput!H99=0,"",IF(UserInput!H99=UserInput!H98,"","SET "&amp;UserInput!H99&amp;"TIMESreport '"&amp;UserInput!H99&amp;" TIMESreport'/ "))</f>
        <v/>
      </c>
      <c r="S100" s="15" t="str">
        <f>IF(UserInput!F99=0,"",UserInput!F99)</f>
        <v/>
      </c>
      <c r="T100" s="15" t="str">
        <f>IF(UserInput!G99=0,"","'"&amp;UserInput!G99&amp;"'")</f>
        <v/>
      </c>
      <c r="U100" s="15" t="str">
        <f>IF(S100="","",IF(UserInput!H99=UserInput!H100,"","/ ;"))</f>
        <v/>
      </c>
      <c r="W100" t="str">
        <f t="shared" si="15"/>
        <v/>
      </c>
      <c r="X100" t="str">
        <f t="shared" si="8"/>
        <v xml:space="preserve"> </v>
      </c>
      <c r="Y100" t="str">
        <f t="shared" si="13"/>
        <v/>
      </c>
    </row>
    <row r="101" spans="1:25" x14ac:dyDescent="0.4">
      <c r="A101" s="16"/>
      <c r="B101" t="str">
        <f t="shared" si="9"/>
        <v/>
      </c>
      <c r="C101" t="str">
        <f>IF(UserInput!B100=0,"",UserInput!B100)</f>
        <v/>
      </c>
      <c r="D101" t="str">
        <f t="shared" si="10"/>
        <v/>
      </c>
      <c r="E101" t="str">
        <f>IF(UserInput!B100=0,"",UserInput!B100)</f>
        <v/>
      </c>
      <c r="G101" s="16"/>
      <c r="H101" s="15" t="str">
        <f>IF(UserInput!D100="","",IF(UserInput!D100=UserInput!D99,"","SET "&amp;UserInput!D100&amp;"TIMESreport '"&amp;UserInput!D100&amp;" TIMESreport'/ "))</f>
        <v/>
      </c>
      <c r="I101" s="15" t="str">
        <f>IF(UserInput!B100=0,"",UserInput!B100)</f>
        <v/>
      </c>
      <c r="J101" s="15" t="str">
        <f>IF(UserInput!C100=0,"","'"&amp;UserInput!C100&amp;"'")</f>
        <v/>
      </c>
      <c r="K101" s="15" t="str">
        <f>IF(I101="","",IF(UserInput!D100=UserInput!D101,"","/ ;"))</f>
        <v/>
      </c>
      <c r="M101" t="str">
        <f t="shared" si="14"/>
        <v/>
      </c>
      <c r="N101" s="13" t="str">
        <f t="shared" si="11"/>
        <v xml:space="preserve"> </v>
      </c>
      <c r="O101" t="str">
        <f t="shared" si="12"/>
        <v/>
      </c>
      <c r="Q101" s="16"/>
      <c r="R101" s="15" t="str">
        <f>IF(UserInput!H100=0,"",IF(UserInput!H100=UserInput!H99,"","SET "&amp;UserInput!H100&amp;"TIMESreport '"&amp;UserInput!H100&amp;" TIMESreport'/ "))</f>
        <v/>
      </c>
      <c r="S101" s="15" t="str">
        <f>IF(UserInput!F100=0,"",UserInput!F100)</f>
        <v/>
      </c>
      <c r="T101" s="15" t="str">
        <f>IF(UserInput!G100=0,"","'"&amp;UserInput!G100&amp;"'")</f>
        <v/>
      </c>
      <c r="U101" s="15" t="str">
        <f>IF(S101="","",IF(UserInput!H100=UserInput!H101,"","/ ;"))</f>
        <v/>
      </c>
      <c r="W101" t="str">
        <f t="shared" si="15"/>
        <v/>
      </c>
      <c r="X101" t="str">
        <f t="shared" si="8"/>
        <v xml:space="preserve"> </v>
      </c>
      <c r="Y101" t="str">
        <f t="shared" si="13"/>
        <v/>
      </c>
    </row>
    <row r="102" spans="1:25" x14ac:dyDescent="0.4">
      <c r="A102" s="16"/>
      <c r="B102" t="str">
        <f t="shared" si="9"/>
        <v/>
      </c>
      <c r="C102" t="str">
        <f>IF(UserInput!B101=0,"",UserInput!B101)</f>
        <v/>
      </c>
      <c r="D102" t="str">
        <f t="shared" si="10"/>
        <v/>
      </c>
      <c r="E102" t="str">
        <f>IF(UserInput!B101=0,"",UserInput!B101)</f>
        <v/>
      </c>
      <c r="G102" s="16"/>
      <c r="H102" s="15" t="str">
        <f>IF(UserInput!D101="","",IF(UserInput!D101=UserInput!D100,"","SET "&amp;UserInput!D101&amp;"TIMESreport '"&amp;UserInput!D101&amp;" TIMESreport'/ "))</f>
        <v/>
      </c>
      <c r="I102" s="15" t="str">
        <f>IF(UserInput!B101=0,"",UserInput!B101)</f>
        <v/>
      </c>
      <c r="J102" s="15" t="str">
        <f>IF(UserInput!C101=0,"","'"&amp;UserInput!C101&amp;"'")</f>
        <v/>
      </c>
      <c r="K102" s="15" t="str">
        <f>IF(I102="","",IF(UserInput!D101=UserInput!D102,"","/ ;"))</f>
        <v/>
      </c>
      <c r="M102" t="str">
        <f t="shared" si="14"/>
        <v/>
      </c>
      <c r="N102" s="13" t="str">
        <f t="shared" si="11"/>
        <v xml:space="preserve"> </v>
      </c>
      <c r="O102" t="str">
        <f t="shared" si="12"/>
        <v/>
      </c>
      <c r="Q102" s="16"/>
      <c r="R102" s="15" t="str">
        <f>IF(UserInput!H101=0,"",IF(UserInput!H101=UserInput!H100,"","SET "&amp;UserInput!H101&amp;"TIMESreport '"&amp;UserInput!H101&amp;" TIMESreport'/ "))</f>
        <v/>
      </c>
      <c r="S102" s="15" t="str">
        <f>IF(UserInput!F101=0,"",UserInput!F101)</f>
        <v/>
      </c>
      <c r="T102" s="15" t="str">
        <f>IF(UserInput!G101=0,"","'"&amp;UserInput!G101&amp;"'")</f>
        <v/>
      </c>
      <c r="U102" s="15" t="str">
        <f>IF(S102="","",IF(UserInput!H101=UserInput!H102,"","/ ;"))</f>
        <v/>
      </c>
      <c r="W102" t="str">
        <f t="shared" si="15"/>
        <v/>
      </c>
      <c r="X102" t="str">
        <f t="shared" si="8"/>
        <v xml:space="preserve"> </v>
      </c>
      <c r="Y102" t="str">
        <f t="shared" si="13"/>
        <v/>
      </c>
    </row>
    <row r="103" spans="1:25" x14ac:dyDescent="0.4">
      <c r="A103" s="16"/>
      <c r="B103" t="str">
        <f t="shared" si="9"/>
        <v/>
      </c>
      <c r="C103" t="str">
        <f>IF(UserInput!B102=0,"",UserInput!B102)</f>
        <v/>
      </c>
      <c r="D103" t="str">
        <f t="shared" si="10"/>
        <v/>
      </c>
      <c r="E103" t="str">
        <f>IF(UserInput!B102=0,"",UserInput!B102)</f>
        <v/>
      </c>
      <c r="G103" s="16"/>
      <c r="H103" s="15" t="str">
        <f>IF(UserInput!D102="","",IF(UserInput!D102=UserInput!D101,"","SET "&amp;UserInput!D102&amp;"TIMESreport '"&amp;UserInput!D102&amp;" TIMESreport'/ "))</f>
        <v/>
      </c>
      <c r="I103" s="15" t="str">
        <f>IF(UserInput!B102=0,"",UserInput!B102)</f>
        <v/>
      </c>
      <c r="J103" s="15" t="str">
        <f>IF(UserInput!C102=0,"","'"&amp;UserInput!C102&amp;"'")</f>
        <v/>
      </c>
      <c r="K103" s="15" t="str">
        <f>IF(I103="","",IF(UserInput!D102=UserInput!D103,"","/ ;"))</f>
        <v/>
      </c>
      <c r="M103" t="str">
        <f t="shared" si="14"/>
        <v/>
      </c>
      <c r="N103" s="13" t="str">
        <f t="shared" si="11"/>
        <v xml:space="preserve"> </v>
      </c>
      <c r="O103" t="str">
        <f t="shared" si="12"/>
        <v/>
      </c>
      <c r="Q103" s="16"/>
      <c r="R103" s="15" t="str">
        <f>IF(UserInput!H102=0,"",IF(UserInput!H102=UserInput!H101,"","SET "&amp;UserInput!H102&amp;"TIMESreport '"&amp;UserInput!H102&amp;" TIMESreport'/ "))</f>
        <v/>
      </c>
      <c r="S103" s="15" t="str">
        <f>IF(UserInput!F102=0,"",UserInput!F102)</f>
        <v/>
      </c>
      <c r="T103" s="15" t="str">
        <f>IF(UserInput!G102=0,"","'"&amp;UserInput!G102&amp;"'")</f>
        <v/>
      </c>
      <c r="U103" s="15" t="str">
        <f>IF(S103="","",IF(UserInput!H102=UserInput!H103,"","/ ;"))</f>
        <v/>
      </c>
      <c r="W103" t="str">
        <f t="shared" si="15"/>
        <v/>
      </c>
      <c r="X103" t="str">
        <f t="shared" si="8"/>
        <v xml:space="preserve"> </v>
      </c>
      <c r="Y103" t="str">
        <f t="shared" si="13"/>
        <v/>
      </c>
    </row>
    <row r="104" spans="1:25" x14ac:dyDescent="0.4">
      <c r="A104" s="16"/>
      <c r="B104" t="str">
        <f t="shared" si="9"/>
        <v/>
      </c>
      <c r="C104" t="str">
        <f>IF(UserInput!B103=0,"",UserInput!B103)</f>
        <v/>
      </c>
      <c r="D104" t="str">
        <f t="shared" si="10"/>
        <v/>
      </c>
      <c r="E104" t="str">
        <f>IF(UserInput!B103=0,"",UserInput!B103)</f>
        <v/>
      </c>
      <c r="G104" s="16"/>
      <c r="H104" s="15" t="str">
        <f>IF(UserInput!D103="","",IF(UserInput!D103=UserInput!D102,"","SET "&amp;UserInput!D103&amp;"TIMESreport '"&amp;UserInput!D103&amp;" TIMESreport'/ "))</f>
        <v/>
      </c>
      <c r="I104" s="15" t="str">
        <f>IF(UserInput!B103=0,"",UserInput!B103)</f>
        <v/>
      </c>
      <c r="J104" s="15" t="str">
        <f>IF(UserInput!C103=0,"","'"&amp;UserInput!C103&amp;"'")</f>
        <v/>
      </c>
      <c r="K104" s="15" t="str">
        <f>IF(I104="","",IF(UserInput!D103=UserInput!D104,"","/ ;"))</f>
        <v/>
      </c>
      <c r="M104" t="str">
        <f t="shared" si="14"/>
        <v/>
      </c>
      <c r="N104" s="13" t="str">
        <f t="shared" si="11"/>
        <v xml:space="preserve"> </v>
      </c>
      <c r="O104" t="str">
        <f t="shared" si="12"/>
        <v/>
      </c>
      <c r="Q104" s="16"/>
      <c r="R104" s="15" t="str">
        <f>IF(UserInput!H103=0,"",IF(UserInput!H103=UserInput!H102,"","SET "&amp;UserInput!H103&amp;"TIMESreport '"&amp;UserInput!H103&amp;" TIMESreport'/ "))</f>
        <v/>
      </c>
      <c r="S104" s="15" t="str">
        <f>IF(UserInput!F103=0,"",UserInput!F103)</f>
        <v/>
      </c>
      <c r="T104" s="15" t="str">
        <f>IF(UserInput!G103=0,"","'"&amp;UserInput!G103&amp;"'")</f>
        <v/>
      </c>
      <c r="U104" s="15" t="str">
        <f>IF(S104="","",IF(UserInput!H103=UserInput!H104,"","/ ;"))</f>
        <v/>
      </c>
      <c r="W104" t="str">
        <f t="shared" si="15"/>
        <v/>
      </c>
      <c r="X104" t="str">
        <f t="shared" si="8"/>
        <v xml:space="preserve"> </v>
      </c>
      <c r="Y104" t="str">
        <f t="shared" si="13"/>
        <v/>
      </c>
    </row>
    <row r="105" spans="1:25" x14ac:dyDescent="0.4">
      <c r="A105" s="16"/>
      <c r="B105" t="str">
        <f t="shared" si="9"/>
        <v/>
      </c>
      <c r="C105" t="str">
        <f>IF(UserInput!B104=0,"",UserInput!B104)</f>
        <v/>
      </c>
      <c r="D105" t="str">
        <f t="shared" si="10"/>
        <v/>
      </c>
      <c r="E105" t="str">
        <f>IF(UserInput!B104=0,"",UserInput!B104)</f>
        <v/>
      </c>
      <c r="G105" s="16"/>
      <c r="H105" s="15" t="str">
        <f>IF(UserInput!D104="","",IF(UserInput!D104=UserInput!D103,"","SET "&amp;UserInput!D104&amp;"TIMESreport '"&amp;UserInput!D104&amp;" TIMESreport'/ "))</f>
        <v/>
      </c>
      <c r="I105" s="15" t="str">
        <f>IF(UserInput!B104=0,"",UserInput!B104)</f>
        <v/>
      </c>
      <c r="J105" s="15" t="str">
        <f>IF(UserInput!C104=0,"","'"&amp;UserInput!C104&amp;"'")</f>
        <v/>
      </c>
      <c r="K105" s="15" t="str">
        <f>IF(I105="","",IF(UserInput!D104=UserInput!D105,"","/ ;"))</f>
        <v/>
      </c>
      <c r="M105" t="str">
        <f t="shared" si="14"/>
        <v/>
      </c>
      <c r="N105" s="13" t="str">
        <f t="shared" si="11"/>
        <v xml:space="preserve"> </v>
      </c>
      <c r="O105" t="str">
        <f t="shared" si="12"/>
        <v/>
      </c>
      <c r="Q105" s="16"/>
      <c r="R105" s="15" t="str">
        <f>IF(UserInput!H104=0,"",IF(UserInput!H104=UserInput!H103,"","SET "&amp;UserInput!H104&amp;"TIMESreport '"&amp;UserInput!H104&amp;" TIMESreport'/ "))</f>
        <v/>
      </c>
      <c r="S105" s="15" t="str">
        <f>IF(UserInput!F104=0,"",UserInput!F104)</f>
        <v/>
      </c>
      <c r="T105" s="15" t="str">
        <f>IF(UserInput!G104=0,"","'"&amp;UserInput!G104&amp;"'")</f>
        <v/>
      </c>
      <c r="U105" s="15" t="str">
        <f>IF(S105="","",IF(UserInput!H104=UserInput!H105,"","/ ;"))</f>
        <v/>
      </c>
      <c r="W105" t="str">
        <f t="shared" si="15"/>
        <v/>
      </c>
      <c r="X105" t="str">
        <f t="shared" si="8"/>
        <v xml:space="preserve"> </v>
      </c>
      <c r="Y105" t="str">
        <f t="shared" si="13"/>
        <v/>
      </c>
    </row>
    <row r="106" spans="1:25" x14ac:dyDescent="0.4">
      <c r="A106" s="16"/>
      <c r="B106" t="str">
        <f t="shared" si="9"/>
        <v/>
      </c>
      <c r="C106" t="str">
        <f>IF(UserInput!B105=0,"",UserInput!B105)</f>
        <v/>
      </c>
      <c r="D106" t="str">
        <f t="shared" si="10"/>
        <v/>
      </c>
      <c r="E106" t="str">
        <f>IF(UserInput!B105=0,"",UserInput!B105)</f>
        <v/>
      </c>
      <c r="G106" s="16"/>
      <c r="H106" s="15" t="str">
        <f>IF(UserInput!D105="","",IF(UserInput!D105=UserInput!D104,"","SET "&amp;UserInput!D105&amp;"TIMESreport '"&amp;UserInput!D105&amp;" TIMESreport'/ "))</f>
        <v/>
      </c>
      <c r="I106" s="15" t="str">
        <f>IF(UserInput!B105=0,"",UserInput!B105)</f>
        <v/>
      </c>
      <c r="J106" s="15" t="str">
        <f>IF(UserInput!C105=0,"","'"&amp;UserInput!C105&amp;"'")</f>
        <v/>
      </c>
      <c r="K106" s="15" t="str">
        <f>IF(I106="","",IF(UserInput!D105=UserInput!D106,"","/ ;"))</f>
        <v/>
      </c>
      <c r="M106" t="str">
        <f t="shared" si="14"/>
        <v/>
      </c>
      <c r="N106" s="13" t="str">
        <f t="shared" si="11"/>
        <v xml:space="preserve"> </v>
      </c>
      <c r="O106" t="str">
        <f t="shared" si="12"/>
        <v/>
      </c>
      <c r="Q106" s="16"/>
      <c r="R106" s="15" t="str">
        <f>IF(UserInput!H105=0,"",IF(UserInput!H105=UserInput!H104,"","SET "&amp;UserInput!H105&amp;"TIMESreport '"&amp;UserInput!H105&amp;" TIMESreport'/ "))</f>
        <v/>
      </c>
      <c r="S106" s="15" t="str">
        <f>IF(UserInput!F105=0,"",UserInput!F105)</f>
        <v/>
      </c>
      <c r="T106" s="15" t="str">
        <f>IF(UserInput!G105=0,"","'"&amp;UserInput!G105&amp;"'")</f>
        <v/>
      </c>
      <c r="U106" s="15" t="str">
        <f>IF(S106="","",IF(UserInput!H105=UserInput!H106,"","/ ;"))</f>
        <v/>
      </c>
      <c r="W106" t="str">
        <f t="shared" si="15"/>
        <v/>
      </c>
      <c r="X106" t="str">
        <f t="shared" si="8"/>
        <v xml:space="preserve"> </v>
      </c>
      <c r="Y106" t="str">
        <f t="shared" si="13"/>
        <v/>
      </c>
    </row>
    <row r="107" spans="1:25" x14ac:dyDescent="0.4">
      <c r="A107" s="16"/>
      <c r="B107" t="str">
        <f t="shared" si="9"/>
        <v/>
      </c>
      <c r="C107" t="str">
        <f>IF(UserInput!B106=0,"",UserInput!B106)</f>
        <v/>
      </c>
      <c r="D107" t="str">
        <f t="shared" si="10"/>
        <v/>
      </c>
      <c r="E107" t="str">
        <f>IF(UserInput!B106=0,"",UserInput!B106)</f>
        <v/>
      </c>
      <c r="G107" s="16"/>
      <c r="H107" s="15" t="str">
        <f>IF(UserInput!D106="","",IF(UserInput!D106=UserInput!D105,"","SET "&amp;UserInput!D106&amp;"TIMESreport '"&amp;UserInput!D106&amp;" TIMESreport'/ "))</f>
        <v/>
      </c>
      <c r="I107" s="15" t="str">
        <f>IF(UserInput!B106=0,"",UserInput!B106)</f>
        <v/>
      </c>
      <c r="J107" s="15" t="str">
        <f>IF(UserInput!C106=0,"","'"&amp;UserInput!C106&amp;"'")</f>
        <v/>
      </c>
      <c r="K107" s="15" t="str">
        <f>IF(I107="","",IF(UserInput!D106=UserInput!D107,"","/ ;"))</f>
        <v/>
      </c>
      <c r="M107" t="str">
        <f t="shared" si="14"/>
        <v/>
      </c>
      <c r="N107" s="13" t="str">
        <f t="shared" si="11"/>
        <v xml:space="preserve"> </v>
      </c>
      <c r="O107" t="str">
        <f t="shared" si="12"/>
        <v/>
      </c>
      <c r="Q107" s="16"/>
      <c r="R107" s="15" t="str">
        <f>IF(UserInput!H106=0,"",IF(UserInput!H106=UserInput!H105,"","SET "&amp;UserInput!H106&amp;"TIMESreport '"&amp;UserInput!H106&amp;" TIMESreport'/ "))</f>
        <v/>
      </c>
      <c r="S107" s="15" t="str">
        <f>IF(UserInput!F106=0,"",UserInput!F106)</f>
        <v/>
      </c>
      <c r="T107" s="15" t="str">
        <f>IF(UserInput!G106=0,"","'"&amp;UserInput!G106&amp;"'")</f>
        <v/>
      </c>
      <c r="U107" s="15" t="str">
        <f>IF(S107="","",IF(UserInput!H106=UserInput!H107,"","/ ;"))</f>
        <v/>
      </c>
      <c r="W107" t="str">
        <f t="shared" si="15"/>
        <v/>
      </c>
      <c r="X107" t="str">
        <f t="shared" si="8"/>
        <v xml:space="preserve"> </v>
      </c>
      <c r="Y107" t="str">
        <f t="shared" si="13"/>
        <v/>
      </c>
    </row>
    <row r="108" spans="1:25" x14ac:dyDescent="0.4">
      <c r="A108" s="16"/>
      <c r="B108" t="str">
        <f t="shared" si="9"/>
        <v/>
      </c>
      <c r="C108" t="str">
        <f>IF(UserInput!B107=0,"",UserInput!B107)</f>
        <v/>
      </c>
      <c r="D108" t="str">
        <f t="shared" si="10"/>
        <v/>
      </c>
      <c r="E108" t="str">
        <f>IF(UserInput!B107=0,"",UserInput!B107)</f>
        <v/>
      </c>
      <c r="G108" s="16"/>
      <c r="H108" s="15" t="str">
        <f>IF(UserInput!D107="","",IF(UserInput!D107=UserInput!D106,"","SET "&amp;UserInput!D107&amp;"TIMESreport '"&amp;UserInput!D107&amp;" TIMESreport'/ "))</f>
        <v/>
      </c>
      <c r="I108" s="15" t="str">
        <f>IF(UserInput!B107=0,"",UserInput!B107)</f>
        <v/>
      </c>
      <c r="J108" s="15" t="str">
        <f>IF(UserInput!C107=0,"","'"&amp;UserInput!C107&amp;"'")</f>
        <v/>
      </c>
      <c r="K108" s="15" t="str">
        <f>IF(I108="","",IF(UserInput!D107=UserInput!D108,"","/ ;"))</f>
        <v/>
      </c>
      <c r="M108" t="str">
        <f t="shared" si="14"/>
        <v/>
      </c>
      <c r="N108" s="13" t="str">
        <f t="shared" si="11"/>
        <v xml:space="preserve"> </v>
      </c>
      <c r="O108" t="str">
        <f t="shared" si="12"/>
        <v/>
      </c>
      <c r="Q108" s="16"/>
      <c r="R108" s="15" t="str">
        <f>IF(UserInput!H107=0,"",IF(UserInput!H107=UserInput!H106,"","SET "&amp;UserInput!H107&amp;"TIMESreport '"&amp;UserInput!H107&amp;" TIMESreport'/ "))</f>
        <v/>
      </c>
      <c r="S108" s="15" t="str">
        <f>IF(UserInput!F107=0,"",UserInput!F107)</f>
        <v/>
      </c>
      <c r="T108" s="15" t="str">
        <f>IF(UserInput!G107=0,"","'"&amp;UserInput!G107&amp;"'")</f>
        <v/>
      </c>
      <c r="U108" s="15" t="str">
        <f>IF(S108="","",IF(UserInput!H107=UserInput!H108,"","/ ;"))</f>
        <v/>
      </c>
      <c r="W108" t="str">
        <f t="shared" si="15"/>
        <v/>
      </c>
      <c r="X108" t="str">
        <f t="shared" si="8"/>
        <v xml:space="preserve"> </v>
      </c>
      <c r="Y108" t="str">
        <f t="shared" si="13"/>
        <v/>
      </c>
    </row>
    <row r="109" spans="1:25" x14ac:dyDescent="0.4">
      <c r="A109" s="16"/>
      <c r="B109" t="str">
        <f t="shared" si="9"/>
        <v/>
      </c>
      <c r="C109" t="str">
        <f>IF(UserInput!B108=0,"",UserInput!B108)</f>
        <v/>
      </c>
      <c r="D109" t="str">
        <f t="shared" si="10"/>
        <v/>
      </c>
      <c r="E109" t="str">
        <f>IF(UserInput!B108=0,"",UserInput!B108)</f>
        <v/>
      </c>
      <c r="G109" s="16"/>
      <c r="H109" s="15" t="str">
        <f>IF(UserInput!D108="","",IF(UserInput!D108=UserInput!D107,"","SET "&amp;UserInput!D108&amp;"TIMESreport '"&amp;UserInput!D108&amp;" TIMESreport'/ "))</f>
        <v/>
      </c>
      <c r="I109" s="15" t="str">
        <f>IF(UserInput!B108=0,"",UserInput!B108)</f>
        <v/>
      </c>
      <c r="J109" s="15" t="str">
        <f>IF(UserInput!C108=0,"","'"&amp;UserInput!C108&amp;"'")</f>
        <v/>
      </c>
      <c r="K109" s="15" t="str">
        <f>IF(I109="","",IF(UserInput!D108=UserInput!D109,"","/ ;"))</f>
        <v/>
      </c>
      <c r="M109" t="str">
        <f t="shared" si="14"/>
        <v/>
      </c>
      <c r="N109" s="13" t="str">
        <f t="shared" si="11"/>
        <v xml:space="preserve"> </v>
      </c>
      <c r="O109" t="str">
        <f t="shared" si="12"/>
        <v/>
      </c>
      <c r="Q109" s="16"/>
      <c r="R109" s="15" t="str">
        <f>IF(UserInput!H108=0,"",IF(UserInput!H108=UserInput!H107,"","SET "&amp;UserInput!H108&amp;"TIMESreport '"&amp;UserInput!H108&amp;" TIMESreport'/ "))</f>
        <v/>
      </c>
      <c r="S109" s="15" t="str">
        <f>IF(UserInput!F108=0,"",UserInput!F108)</f>
        <v/>
      </c>
      <c r="T109" s="15" t="str">
        <f>IF(UserInput!G108=0,"","'"&amp;UserInput!G108&amp;"'")</f>
        <v/>
      </c>
      <c r="U109" s="15" t="str">
        <f>IF(S109="","",IF(UserInput!H108=UserInput!H109,"","/ ;"))</f>
        <v/>
      </c>
      <c r="W109" t="str">
        <f t="shared" si="15"/>
        <v/>
      </c>
      <c r="X109" t="str">
        <f t="shared" si="8"/>
        <v xml:space="preserve"> </v>
      </c>
      <c r="Y109" t="str">
        <f t="shared" si="13"/>
        <v/>
      </c>
    </row>
    <row r="110" spans="1:25" x14ac:dyDescent="0.4">
      <c r="A110" s="16"/>
      <c r="B110" t="str">
        <f t="shared" si="9"/>
        <v/>
      </c>
      <c r="C110" t="str">
        <f>IF(UserInput!B109=0,"",UserInput!B109)</f>
        <v/>
      </c>
      <c r="D110" t="str">
        <f t="shared" si="10"/>
        <v/>
      </c>
      <c r="E110" t="str">
        <f>IF(UserInput!B109=0,"",UserInput!B109)</f>
        <v/>
      </c>
      <c r="G110" s="16"/>
      <c r="H110" s="15" t="str">
        <f>IF(UserInput!D109="","",IF(UserInput!D109=UserInput!D108,"","SET "&amp;UserInput!D109&amp;"TIMESreport '"&amp;UserInput!D109&amp;" TIMESreport'/ "))</f>
        <v/>
      </c>
      <c r="I110" s="15" t="str">
        <f>IF(UserInput!B109=0,"",UserInput!B109)</f>
        <v/>
      </c>
      <c r="J110" s="15" t="str">
        <f>IF(UserInput!C109=0,"","'"&amp;UserInput!C109&amp;"'")</f>
        <v/>
      </c>
      <c r="K110" s="15" t="str">
        <f>IF(I110="","",IF(UserInput!D109=UserInput!D110,"","/ ;"))</f>
        <v/>
      </c>
      <c r="M110" t="str">
        <f t="shared" si="14"/>
        <v/>
      </c>
      <c r="N110" s="13" t="str">
        <f t="shared" si="11"/>
        <v xml:space="preserve"> </v>
      </c>
      <c r="O110" t="str">
        <f t="shared" si="12"/>
        <v/>
      </c>
      <c r="Q110" s="16"/>
      <c r="R110" s="15" t="str">
        <f>IF(UserInput!H109=0,"",IF(UserInput!H109=UserInput!H108,"","SET "&amp;UserInput!H109&amp;"TIMESreport '"&amp;UserInput!H109&amp;" TIMESreport'/ "))</f>
        <v/>
      </c>
      <c r="S110" s="15" t="str">
        <f>IF(UserInput!F109=0,"",UserInput!F109)</f>
        <v/>
      </c>
      <c r="T110" s="15" t="str">
        <f>IF(UserInput!G109=0,"","'"&amp;UserInput!G109&amp;"'")</f>
        <v/>
      </c>
      <c r="U110" s="15" t="str">
        <f>IF(S110="","",IF(UserInput!H109=UserInput!H110,"","/ ;"))</f>
        <v/>
      </c>
      <c r="W110" t="str">
        <f t="shared" si="15"/>
        <v/>
      </c>
      <c r="X110" t="str">
        <f t="shared" si="8"/>
        <v xml:space="preserve"> </v>
      </c>
      <c r="Y110" t="str">
        <f t="shared" si="13"/>
        <v/>
      </c>
    </row>
    <row r="111" spans="1:25" x14ac:dyDescent="0.4">
      <c r="A111" s="16"/>
      <c r="B111" t="str">
        <f t="shared" si="9"/>
        <v/>
      </c>
      <c r="C111" t="str">
        <f>IF(UserInput!B110=0,"",UserInput!B110)</f>
        <v/>
      </c>
      <c r="D111" t="str">
        <f t="shared" si="10"/>
        <v/>
      </c>
      <c r="E111" t="str">
        <f>IF(UserInput!B110=0,"",UserInput!B110)</f>
        <v/>
      </c>
      <c r="G111" s="16"/>
      <c r="H111" s="15" t="str">
        <f>IF(UserInput!D110="","",IF(UserInput!D110=UserInput!D109,"","SET "&amp;UserInput!D110&amp;"TIMESreport '"&amp;UserInput!D110&amp;" TIMESreport'/ "))</f>
        <v/>
      </c>
      <c r="I111" s="15" t="str">
        <f>IF(UserInput!B110=0,"",UserInput!B110)</f>
        <v/>
      </c>
      <c r="J111" s="15" t="str">
        <f>IF(UserInput!C110=0,"","'"&amp;UserInput!C110&amp;"'")</f>
        <v/>
      </c>
      <c r="K111" s="15" t="str">
        <f>IF(I111="","",IF(UserInput!D110=UserInput!D111,"","/ ;"))</f>
        <v/>
      </c>
      <c r="M111" t="str">
        <f t="shared" si="14"/>
        <v/>
      </c>
      <c r="N111" s="13" t="str">
        <f t="shared" si="11"/>
        <v xml:space="preserve"> </v>
      </c>
      <c r="O111" t="str">
        <f t="shared" si="12"/>
        <v/>
      </c>
      <c r="Q111" s="16"/>
      <c r="R111" s="15" t="str">
        <f>IF(UserInput!H110=0,"",IF(UserInput!H110=UserInput!H109,"","SET "&amp;UserInput!H110&amp;"TIMESreport '"&amp;UserInput!H110&amp;" TIMESreport'/ "))</f>
        <v/>
      </c>
      <c r="S111" s="15" t="str">
        <f>IF(UserInput!F110=0,"",UserInput!F110)</f>
        <v/>
      </c>
      <c r="T111" s="15" t="str">
        <f>IF(UserInput!G110=0,"","'"&amp;UserInput!G110&amp;"'")</f>
        <v/>
      </c>
      <c r="U111" s="15" t="str">
        <f>IF(S111="","",IF(UserInput!H110=UserInput!H111,"","/ ;"))</f>
        <v/>
      </c>
      <c r="W111" t="str">
        <f t="shared" si="15"/>
        <v/>
      </c>
      <c r="X111" t="str">
        <f t="shared" si="8"/>
        <v xml:space="preserve"> </v>
      </c>
      <c r="Y111" t="str">
        <f t="shared" si="13"/>
        <v/>
      </c>
    </row>
    <row r="112" spans="1:25" x14ac:dyDescent="0.4">
      <c r="A112" s="16"/>
      <c r="B112" t="str">
        <f t="shared" si="9"/>
        <v/>
      </c>
      <c r="C112" t="str">
        <f>IF(UserInput!B111=0,"",UserInput!B111)</f>
        <v/>
      </c>
      <c r="D112" t="str">
        <f t="shared" si="10"/>
        <v/>
      </c>
      <c r="E112" t="str">
        <f>IF(UserInput!B111=0,"",UserInput!B111)</f>
        <v/>
      </c>
      <c r="G112" s="16"/>
      <c r="H112" s="15" t="str">
        <f>IF(UserInput!D111="","",IF(UserInput!D111=UserInput!D110,"","SET "&amp;UserInput!D111&amp;"TIMESreport '"&amp;UserInput!D111&amp;" TIMESreport'/ "))</f>
        <v/>
      </c>
      <c r="I112" s="15" t="str">
        <f>IF(UserInput!B111=0,"",UserInput!B111)</f>
        <v/>
      </c>
      <c r="J112" s="15" t="str">
        <f>IF(UserInput!C111=0,"","'"&amp;UserInput!C111&amp;"'")</f>
        <v/>
      </c>
      <c r="K112" s="15" t="str">
        <f>IF(I112="","",IF(UserInput!D111=UserInput!D112,"","/ ;"))</f>
        <v/>
      </c>
      <c r="M112" t="str">
        <f t="shared" si="14"/>
        <v/>
      </c>
      <c r="N112" s="13" t="str">
        <f t="shared" si="11"/>
        <v xml:space="preserve"> </v>
      </c>
      <c r="O112" t="str">
        <f t="shared" si="12"/>
        <v/>
      </c>
      <c r="Q112" s="16"/>
      <c r="R112" s="15" t="str">
        <f>IF(UserInput!H111=0,"",IF(UserInput!H111=UserInput!H110,"","SET "&amp;UserInput!H111&amp;"TIMESreport '"&amp;UserInput!H111&amp;" TIMESreport'/ "))</f>
        <v/>
      </c>
      <c r="S112" s="15" t="str">
        <f>IF(UserInput!F111=0,"",UserInput!F111)</f>
        <v/>
      </c>
      <c r="T112" s="15" t="str">
        <f>IF(UserInput!G111=0,"","'"&amp;UserInput!G111&amp;"'")</f>
        <v/>
      </c>
      <c r="U112" s="15" t="str">
        <f>IF(S112="","",IF(UserInput!H111=UserInput!H112,"","/ ;"))</f>
        <v/>
      </c>
      <c r="W112" t="str">
        <f t="shared" si="15"/>
        <v/>
      </c>
      <c r="X112" t="str">
        <f t="shared" si="8"/>
        <v xml:space="preserve"> </v>
      </c>
      <c r="Y112" t="str">
        <f t="shared" si="13"/>
        <v/>
      </c>
    </row>
    <row r="113" spans="1:25" x14ac:dyDescent="0.4">
      <c r="A113" s="16"/>
      <c r="B113" t="str">
        <f t="shared" si="9"/>
        <v/>
      </c>
      <c r="C113" t="str">
        <f>IF(UserInput!B112=0,"",UserInput!B112)</f>
        <v/>
      </c>
      <c r="D113" t="str">
        <f t="shared" si="10"/>
        <v/>
      </c>
      <c r="E113" t="str">
        <f>IF(UserInput!B112=0,"",UserInput!B112)</f>
        <v/>
      </c>
      <c r="G113" s="16"/>
      <c r="H113" s="15" t="str">
        <f>IF(UserInput!D112="","",IF(UserInput!D112=UserInput!D111,"","SET "&amp;UserInput!D112&amp;"TIMESreport '"&amp;UserInput!D112&amp;" TIMESreport'/ "))</f>
        <v/>
      </c>
      <c r="I113" s="15" t="str">
        <f>IF(UserInput!B112=0,"",UserInput!B112)</f>
        <v/>
      </c>
      <c r="J113" s="15" t="str">
        <f>IF(UserInput!C112=0,"","'"&amp;UserInput!C112&amp;"'")</f>
        <v/>
      </c>
      <c r="K113" s="15" t="str">
        <f>IF(I113="","",IF(UserInput!D112=UserInput!D113,"","/ ;"))</f>
        <v/>
      </c>
      <c r="M113" t="str">
        <f t="shared" si="14"/>
        <v/>
      </c>
      <c r="N113" s="13" t="str">
        <f t="shared" si="11"/>
        <v xml:space="preserve"> </v>
      </c>
      <c r="O113" t="str">
        <f t="shared" si="12"/>
        <v/>
      </c>
      <c r="Q113" s="16"/>
      <c r="R113" s="15" t="str">
        <f>IF(UserInput!H112=0,"",IF(UserInput!H112=UserInput!H111,"","SET "&amp;UserInput!H112&amp;"TIMESreport '"&amp;UserInput!H112&amp;" TIMESreport'/ "))</f>
        <v/>
      </c>
      <c r="S113" s="15" t="str">
        <f>IF(UserInput!F112=0,"",UserInput!F112)</f>
        <v/>
      </c>
      <c r="T113" s="15" t="str">
        <f>IF(UserInput!G112=0,"","'"&amp;UserInput!G112&amp;"'")</f>
        <v/>
      </c>
      <c r="U113" s="15" t="str">
        <f>IF(S113="","",IF(UserInput!H112=UserInput!H113,"","/ ;"))</f>
        <v/>
      </c>
      <c r="W113" t="str">
        <f t="shared" si="15"/>
        <v/>
      </c>
      <c r="X113" t="str">
        <f t="shared" si="8"/>
        <v xml:space="preserve"> </v>
      </c>
      <c r="Y113" t="str">
        <f t="shared" si="13"/>
        <v/>
      </c>
    </row>
    <row r="114" spans="1:25" x14ac:dyDescent="0.4">
      <c r="A114" s="16"/>
      <c r="B114" t="str">
        <f t="shared" si="9"/>
        <v/>
      </c>
      <c r="C114" t="str">
        <f>IF(UserInput!B113=0,"",UserInput!B113)</f>
        <v/>
      </c>
      <c r="D114" t="str">
        <f t="shared" si="10"/>
        <v/>
      </c>
      <c r="E114" t="str">
        <f>IF(UserInput!B113=0,"",UserInput!B113)</f>
        <v/>
      </c>
      <c r="G114" s="16"/>
      <c r="H114" s="15" t="str">
        <f>IF(UserInput!D113="","",IF(UserInput!D113=UserInput!D112,"","SET "&amp;UserInput!D113&amp;"TIMESreport '"&amp;UserInput!D113&amp;" TIMESreport'/ "))</f>
        <v/>
      </c>
      <c r="I114" s="15" t="str">
        <f>IF(UserInput!B113=0,"",UserInput!B113)</f>
        <v/>
      </c>
      <c r="J114" s="15" t="str">
        <f>IF(UserInput!C113=0,"","'"&amp;UserInput!C113&amp;"'")</f>
        <v/>
      </c>
      <c r="K114" s="15" t="str">
        <f>IF(I114="","",IF(UserInput!D113=UserInput!D114,"","/ ;"))</f>
        <v/>
      </c>
      <c r="M114" t="str">
        <f t="shared" si="14"/>
        <v/>
      </c>
      <c r="N114" s="13" t="str">
        <f t="shared" si="11"/>
        <v xml:space="preserve"> </v>
      </c>
      <c r="O114" t="str">
        <f t="shared" si="12"/>
        <v/>
      </c>
      <c r="Q114" s="16"/>
      <c r="R114" s="15" t="str">
        <f>IF(UserInput!H113=0,"",IF(UserInput!H113=UserInput!H112,"","SET "&amp;UserInput!H113&amp;"TIMESreport '"&amp;UserInput!H113&amp;" TIMESreport'/ "))</f>
        <v/>
      </c>
      <c r="S114" s="15" t="str">
        <f>IF(UserInput!F113=0,"",UserInput!F113)</f>
        <v/>
      </c>
      <c r="T114" s="15" t="str">
        <f>IF(UserInput!G113=0,"","'"&amp;UserInput!G113&amp;"'")</f>
        <v/>
      </c>
      <c r="U114" s="15" t="str">
        <f>IF(S114="","",IF(UserInput!H113=UserInput!H114,"","/ ;"))</f>
        <v/>
      </c>
      <c r="W114" t="str">
        <f t="shared" si="15"/>
        <v/>
      </c>
      <c r="X114" t="str">
        <f t="shared" si="8"/>
        <v xml:space="preserve"> </v>
      </c>
      <c r="Y114" t="str">
        <f t="shared" si="13"/>
        <v/>
      </c>
    </row>
    <row r="115" spans="1:25" x14ac:dyDescent="0.4">
      <c r="A115" s="16"/>
      <c r="B115" t="str">
        <f t="shared" si="9"/>
        <v/>
      </c>
      <c r="C115" t="str">
        <f>IF(UserInput!B114=0,"",UserInput!B114)</f>
        <v/>
      </c>
      <c r="D115" t="str">
        <f t="shared" si="10"/>
        <v/>
      </c>
      <c r="E115" t="str">
        <f>IF(UserInput!B114=0,"",UserInput!B114)</f>
        <v/>
      </c>
      <c r="G115" s="16"/>
      <c r="H115" s="15" t="str">
        <f>IF(UserInput!D114="","",IF(UserInput!D114=UserInput!D113,"","SET "&amp;UserInput!D114&amp;"TIMESreport '"&amp;UserInput!D114&amp;" TIMESreport'/ "))</f>
        <v/>
      </c>
      <c r="I115" s="15" t="str">
        <f>IF(UserInput!B114=0,"",UserInput!B114)</f>
        <v/>
      </c>
      <c r="J115" s="15" t="str">
        <f>IF(UserInput!C114=0,"","'"&amp;UserInput!C114&amp;"'")</f>
        <v/>
      </c>
      <c r="K115" s="15" t="str">
        <f>IF(I115="","",IF(UserInput!D114=UserInput!D115,"","/ ;"))</f>
        <v/>
      </c>
      <c r="M115" t="str">
        <f t="shared" si="14"/>
        <v/>
      </c>
      <c r="N115" s="13" t="str">
        <f t="shared" si="11"/>
        <v xml:space="preserve"> </v>
      </c>
      <c r="O115" t="str">
        <f t="shared" si="12"/>
        <v/>
      </c>
      <c r="Q115" s="16"/>
      <c r="R115" s="15" t="str">
        <f>IF(UserInput!H114=0,"",IF(UserInput!H114=UserInput!H113,"","SET "&amp;UserInput!H114&amp;"TIMESreport '"&amp;UserInput!H114&amp;" TIMESreport'/ "))</f>
        <v/>
      </c>
      <c r="S115" s="15" t="str">
        <f>IF(UserInput!F114=0,"",UserInput!F114)</f>
        <v/>
      </c>
      <c r="T115" s="15" t="str">
        <f>IF(UserInput!G114=0,"","'"&amp;UserInput!G114&amp;"'")</f>
        <v/>
      </c>
      <c r="U115" s="15" t="str">
        <f>IF(S115="","",IF(UserInput!H114=UserInput!H115,"","/ ;"))</f>
        <v/>
      </c>
      <c r="W115" t="str">
        <f t="shared" si="15"/>
        <v/>
      </c>
      <c r="X115" t="str">
        <f t="shared" si="8"/>
        <v xml:space="preserve"> </v>
      </c>
      <c r="Y115" t="str">
        <f t="shared" si="13"/>
        <v/>
      </c>
    </row>
    <row r="116" spans="1:25" x14ac:dyDescent="0.4">
      <c r="A116" s="16"/>
      <c r="B116" t="str">
        <f t="shared" si="9"/>
        <v/>
      </c>
      <c r="C116" t="str">
        <f>IF(UserInput!B115=0,"",UserInput!B115)</f>
        <v/>
      </c>
      <c r="D116" t="str">
        <f t="shared" si="10"/>
        <v/>
      </c>
      <c r="E116" t="str">
        <f>IF(UserInput!B115=0,"",UserInput!B115)</f>
        <v/>
      </c>
      <c r="G116" s="16"/>
      <c r="H116" s="15" t="str">
        <f>IF(UserInput!D115="","",IF(UserInput!D115=UserInput!D114,"","SET "&amp;UserInput!D115&amp;"TIMESreport '"&amp;UserInput!D115&amp;" TIMESreport'/ "))</f>
        <v/>
      </c>
      <c r="I116" s="15" t="str">
        <f>IF(UserInput!B115=0,"",UserInput!B115)</f>
        <v/>
      </c>
      <c r="J116" s="15" t="str">
        <f>IF(UserInput!C115=0,"","'"&amp;UserInput!C115&amp;"'")</f>
        <v/>
      </c>
      <c r="K116" s="15" t="str">
        <f>IF(I116="","",IF(UserInput!D115=UserInput!D116,"","/ ;"))</f>
        <v/>
      </c>
      <c r="M116" t="str">
        <f t="shared" si="14"/>
        <v/>
      </c>
      <c r="N116" s="13" t="str">
        <f t="shared" si="11"/>
        <v xml:space="preserve"> </v>
      </c>
      <c r="O116" t="str">
        <f t="shared" si="12"/>
        <v/>
      </c>
      <c r="Q116" s="16"/>
      <c r="R116" s="15" t="str">
        <f>IF(UserInput!H115=0,"",IF(UserInput!H115=UserInput!H114,"","SET "&amp;UserInput!H115&amp;"TIMESreport '"&amp;UserInput!H115&amp;" TIMESreport'/ "))</f>
        <v/>
      </c>
      <c r="S116" s="15" t="str">
        <f>IF(UserInput!F115=0,"",UserInput!F115)</f>
        <v/>
      </c>
      <c r="T116" s="15" t="str">
        <f>IF(UserInput!G115=0,"","'"&amp;UserInput!G115&amp;"'")</f>
        <v/>
      </c>
      <c r="U116" s="15" t="str">
        <f>IF(S116="","",IF(UserInput!H115=UserInput!H116,"","/ ;"))</f>
        <v/>
      </c>
      <c r="W116" t="str">
        <f t="shared" si="15"/>
        <v/>
      </c>
      <c r="X116" t="str">
        <f t="shared" si="8"/>
        <v xml:space="preserve"> </v>
      </c>
      <c r="Y116" t="str">
        <f t="shared" si="13"/>
        <v/>
      </c>
    </row>
    <row r="117" spans="1:25" x14ac:dyDescent="0.4">
      <c r="A117" s="16"/>
      <c r="B117" t="str">
        <f t="shared" si="9"/>
        <v/>
      </c>
      <c r="C117" t="str">
        <f>IF(UserInput!B116=0,"",UserInput!B116)</f>
        <v/>
      </c>
      <c r="D117" t="str">
        <f t="shared" si="10"/>
        <v/>
      </c>
      <c r="E117" t="str">
        <f>IF(UserInput!B116=0,"",UserInput!B116)</f>
        <v/>
      </c>
      <c r="G117" s="16"/>
      <c r="H117" s="15" t="str">
        <f>IF(UserInput!D116="","",IF(UserInput!D116=UserInput!D115,"","SET "&amp;UserInput!D116&amp;"TIMESreport '"&amp;UserInput!D116&amp;" TIMESreport'/ "))</f>
        <v/>
      </c>
      <c r="I117" s="15" t="str">
        <f>IF(UserInput!B116=0,"",UserInput!B116)</f>
        <v/>
      </c>
      <c r="J117" s="15" t="str">
        <f>IF(UserInput!C116=0,"","'"&amp;UserInput!C116&amp;"'")</f>
        <v/>
      </c>
      <c r="K117" s="15" t="str">
        <f>IF(I117="","",IF(UserInput!D116=UserInput!D117,"","/ ;"))</f>
        <v/>
      </c>
      <c r="M117" t="str">
        <f t="shared" si="14"/>
        <v/>
      </c>
      <c r="N117" s="13" t="str">
        <f t="shared" si="11"/>
        <v xml:space="preserve"> </v>
      </c>
      <c r="O117" t="str">
        <f t="shared" si="12"/>
        <v/>
      </c>
      <c r="Q117" s="16"/>
      <c r="R117" s="15" t="str">
        <f>IF(UserInput!H116=0,"",IF(UserInput!H116=UserInput!H115,"","SET "&amp;UserInput!H116&amp;"TIMESreport '"&amp;UserInput!H116&amp;" TIMESreport'/ "))</f>
        <v/>
      </c>
      <c r="S117" s="15" t="str">
        <f>IF(UserInput!F116=0,"",UserInput!F116)</f>
        <v/>
      </c>
      <c r="T117" s="15" t="str">
        <f>IF(UserInput!G116=0,"","'"&amp;UserInput!G116&amp;"'")</f>
        <v/>
      </c>
      <c r="U117" s="15" t="str">
        <f>IF(S117="","",IF(UserInput!H116=UserInput!H117,"","/ ;"))</f>
        <v/>
      </c>
      <c r="W117" t="str">
        <f t="shared" si="15"/>
        <v/>
      </c>
      <c r="X117" t="str">
        <f t="shared" si="8"/>
        <v xml:space="preserve"> </v>
      </c>
      <c r="Y117" t="str">
        <f t="shared" si="13"/>
        <v/>
      </c>
    </row>
    <row r="118" spans="1:25" x14ac:dyDescent="0.4">
      <c r="A118" s="16"/>
      <c r="B118" t="str">
        <f t="shared" si="9"/>
        <v/>
      </c>
      <c r="C118" t="str">
        <f>IF(UserInput!B117=0,"",UserInput!B117)</f>
        <v/>
      </c>
      <c r="D118" t="str">
        <f t="shared" si="10"/>
        <v/>
      </c>
      <c r="E118" t="str">
        <f>IF(UserInput!B117=0,"",UserInput!B117)</f>
        <v/>
      </c>
      <c r="G118" s="16"/>
      <c r="H118" s="15" t="str">
        <f>IF(UserInput!D117="","",IF(UserInput!D117=UserInput!D116,"","SET "&amp;UserInput!D117&amp;"TIMESreport '"&amp;UserInput!D117&amp;" TIMESreport'/ "))</f>
        <v/>
      </c>
      <c r="I118" s="15" t="str">
        <f>IF(UserInput!B117=0,"",UserInput!B117)</f>
        <v/>
      </c>
      <c r="J118" s="15" t="str">
        <f>IF(UserInput!C117=0,"","'"&amp;UserInput!C117&amp;"'")</f>
        <v/>
      </c>
      <c r="K118" s="15" t="str">
        <f>IF(I118="","",IF(UserInput!D117=UserInput!D118,"","/ ;"))</f>
        <v/>
      </c>
      <c r="M118" t="str">
        <f t="shared" si="14"/>
        <v/>
      </c>
      <c r="N118" s="13" t="str">
        <f t="shared" si="11"/>
        <v xml:space="preserve"> </v>
      </c>
      <c r="O118" t="str">
        <f t="shared" si="12"/>
        <v/>
      </c>
      <c r="Q118" s="16"/>
      <c r="R118" s="15" t="str">
        <f>IF(UserInput!H117=0,"",IF(UserInput!H117=UserInput!H116,"","SET "&amp;UserInput!H117&amp;"TIMESreport '"&amp;UserInput!H117&amp;" TIMESreport'/ "))</f>
        <v/>
      </c>
      <c r="S118" s="15" t="str">
        <f>IF(UserInput!F117=0,"",UserInput!F117)</f>
        <v/>
      </c>
      <c r="T118" s="15" t="str">
        <f>IF(UserInput!G117=0,"","'"&amp;UserInput!G117&amp;"'")</f>
        <v/>
      </c>
      <c r="U118" s="15" t="str">
        <f>IF(S118="","",IF(UserInput!H117=UserInput!H118,"","/ ;"))</f>
        <v/>
      </c>
      <c r="W118" t="str">
        <f t="shared" si="15"/>
        <v/>
      </c>
      <c r="X118" t="str">
        <f t="shared" si="8"/>
        <v xml:space="preserve"> </v>
      </c>
      <c r="Y118" t="str">
        <f t="shared" si="13"/>
        <v/>
      </c>
    </row>
    <row r="119" spans="1:25" x14ac:dyDescent="0.4">
      <c r="A119" s="16"/>
      <c r="B119" t="str">
        <f t="shared" si="9"/>
        <v/>
      </c>
      <c r="C119" t="str">
        <f>IF(UserInput!B118=0,"",UserInput!B118)</f>
        <v/>
      </c>
      <c r="D119" t="str">
        <f t="shared" si="10"/>
        <v/>
      </c>
      <c r="E119" t="str">
        <f>IF(UserInput!B118=0,"",UserInput!B118)</f>
        <v/>
      </c>
      <c r="G119" s="16"/>
      <c r="H119" s="15" t="str">
        <f>IF(UserInput!D118="","",IF(UserInput!D118=UserInput!D117,"","SET "&amp;UserInput!D118&amp;"TIMESreport '"&amp;UserInput!D118&amp;" TIMESreport'/ "))</f>
        <v/>
      </c>
      <c r="I119" s="15" t="str">
        <f>IF(UserInput!B118=0,"",UserInput!B118)</f>
        <v/>
      </c>
      <c r="J119" s="15" t="str">
        <f>IF(UserInput!C118=0,"","'"&amp;UserInput!C118&amp;"'")</f>
        <v/>
      </c>
      <c r="K119" s="15" t="str">
        <f>IF(I119="","",IF(UserInput!D118=UserInput!D119,"","/ ;"))</f>
        <v/>
      </c>
      <c r="M119" t="str">
        <f t="shared" si="14"/>
        <v/>
      </c>
      <c r="N119" s="13" t="str">
        <f t="shared" si="11"/>
        <v xml:space="preserve"> </v>
      </c>
      <c r="O119" t="str">
        <f t="shared" si="12"/>
        <v/>
      </c>
      <c r="Q119" s="16"/>
      <c r="R119" s="15" t="str">
        <f>IF(UserInput!H118=0,"",IF(UserInput!H118=UserInput!H117,"","SET "&amp;UserInput!H118&amp;"TIMESreport '"&amp;UserInput!H118&amp;" TIMESreport'/ "))</f>
        <v/>
      </c>
      <c r="S119" s="15" t="str">
        <f>IF(UserInput!F118=0,"",UserInput!F118)</f>
        <v/>
      </c>
      <c r="T119" s="15" t="str">
        <f>IF(UserInput!G118=0,"","'"&amp;UserInput!G118&amp;"'")</f>
        <v/>
      </c>
      <c r="U119" s="15" t="str">
        <f>IF(S119="","",IF(UserInput!H118=UserInput!H119,"","/ ;"))</f>
        <v/>
      </c>
      <c r="W119" t="str">
        <f t="shared" si="15"/>
        <v/>
      </c>
      <c r="X119" t="str">
        <f t="shared" si="8"/>
        <v xml:space="preserve"> </v>
      </c>
      <c r="Y119" t="str">
        <f t="shared" si="13"/>
        <v/>
      </c>
    </row>
    <row r="120" spans="1:25" x14ac:dyDescent="0.4">
      <c r="A120" s="16"/>
      <c r="B120" t="str">
        <f t="shared" si="9"/>
        <v/>
      </c>
      <c r="C120" t="str">
        <f>IF(UserInput!B119=0,"",UserInput!B119)</f>
        <v/>
      </c>
      <c r="D120" t="str">
        <f t="shared" si="10"/>
        <v/>
      </c>
      <c r="E120" t="str">
        <f>IF(UserInput!B119=0,"",UserInput!B119)</f>
        <v/>
      </c>
      <c r="G120" s="16"/>
      <c r="H120" s="15" t="str">
        <f>IF(UserInput!D119="","",IF(UserInput!D119=UserInput!D118,"","SET "&amp;UserInput!D119&amp;"TIMESreport '"&amp;UserInput!D119&amp;" TIMESreport'/ "))</f>
        <v/>
      </c>
      <c r="I120" s="15" t="str">
        <f>IF(UserInput!B119=0,"",UserInput!B119)</f>
        <v/>
      </c>
      <c r="J120" s="15" t="str">
        <f>IF(UserInput!C119=0,"","'"&amp;UserInput!C119&amp;"'")</f>
        <v/>
      </c>
      <c r="K120" s="15" t="str">
        <f>IF(I120="","",IF(UserInput!D119=UserInput!D120,"","/ ;"))</f>
        <v/>
      </c>
      <c r="M120" t="str">
        <f t="shared" si="14"/>
        <v/>
      </c>
      <c r="N120" s="13" t="str">
        <f t="shared" si="11"/>
        <v xml:space="preserve"> </v>
      </c>
      <c r="O120" t="str">
        <f t="shared" si="12"/>
        <v/>
      </c>
      <c r="Q120" s="16"/>
      <c r="R120" s="15" t="str">
        <f>IF(UserInput!H119=0,"",IF(UserInput!H119=UserInput!H118,"","SET "&amp;UserInput!H119&amp;"TIMESreport '"&amp;UserInput!H119&amp;" TIMESreport'/ "))</f>
        <v/>
      </c>
      <c r="S120" s="15" t="str">
        <f>IF(UserInput!F119=0,"",UserInput!F119)</f>
        <v/>
      </c>
      <c r="T120" s="15" t="str">
        <f>IF(UserInput!G119=0,"","'"&amp;UserInput!G119&amp;"'")</f>
        <v/>
      </c>
      <c r="U120" s="15" t="str">
        <f>IF(S120="","",IF(UserInput!H119=UserInput!H120,"","/ ;"))</f>
        <v/>
      </c>
      <c r="W120" t="str">
        <f t="shared" si="15"/>
        <v/>
      </c>
      <c r="X120" t="str">
        <f t="shared" si="8"/>
        <v xml:space="preserve"> </v>
      </c>
      <c r="Y120" t="str">
        <f t="shared" si="13"/>
        <v/>
      </c>
    </row>
    <row r="121" spans="1:25" x14ac:dyDescent="0.4">
      <c r="A121" s="16"/>
      <c r="B121" t="str">
        <f t="shared" si="9"/>
        <v/>
      </c>
      <c r="C121" t="str">
        <f>IF(UserInput!B120=0,"",UserInput!B120)</f>
        <v/>
      </c>
      <c r="D121" t="str">
        <f t="shared" si="10"/>
        <v/>
      </c>
      <c r="E121" t="str">
        <f>IF(UserInput!B120=0,"",UserInput!B120)</f>
        <v/>
      </c>
      <c r="G121" s="16"/>
      <c r="H121" s="15" t="str">
        <f>IF(UserInput!D120="","",IF(UserInput!D120=UserInput!D119,"","SET "&amp;UserInput!D120&amp;"TIMESreport '"&amp;UserInput!D120&amp;" TIMESreport'/ "))</f>
        <v/>
      </c>
      <c r="I121" s="15" t="str">
        <f>IF(UserInput!B120=0,"",UserInput!B120)</f>
        <v/>
      </c>
      <c r="J121" s="15" t="str">
        <f>IF(UserInput!C120=0,"","'"&amp;UserInput!C120&amp;"'")</f>
        <v/>
      </c>
      <c r="K121" s="15" t="str">
        <f>IF(I121="","",IF(UserInput!D120=UserInput!D121,"","/ ;"))</f>
        <v/>
      </c>
      <c r="M121" t="str">
        <f t="shared" si="14"/>
        <v/>
      </c>
      <c r="N121" s="13" t="str">
        <f t="shared" si="11"/>
        <v xml:space="preserve"> </v>
      </c>
      <c r="O121" t="str">
        <f t="shared" si="12"/>
        <v/>
      </c>
      <c r="Q121" s="16"/>
      <c r="R121" s="15" t="str">
        <f>IF(UserInput!H120=0,"",IF(UserInput!H120=UserInput!H119,"","SET "&amp;UserInput!H120&amp;"TIMESreport '"&amp;UserInput!H120&amp;" TIMESreport'/ "))</f>
        <v/>
      </c>
      <c r="S121" s="15" t="str">
        <f>IF(UserInput!F120=0,"",UserInput!F120)</f>
        <v/>
      </c>
      <c r="T121" s="15" t="str">
        <f>IF(UserInput!G120=0,"","'"&amp;UserInput!G120&amp;"'")</f>
        <v/>
      </c>
      <c r="U121" s="15" t="str">
        <f>IF(S121="","",IF(UserInput!H120=UserInput!H121,"","/ ;"))</f>
        <v/>
      </c>
      <c r="W121" t="str">
        <f t="shared" si="15"/>
        <v/>
      </c>
      <c r="X121" t="str">
        <f t="shared" si="8"/>
        <v xml:space="preserve"> </v>
      </c>
      <c r="Y121" t="str">
        <f t="shared" si="13"/>
        <v/>
      </c>
    </row>
    <row r="122" spans="1:25" x14ac:dyDescent="0.4">
      <c r="A122" s="16"/>
      <c r="B122" t="str">
        <f t="shared" si="9"/>
        <v/>
      </c>
      <c r="C122" t="str">
        <f>IF(UserInput!B121=0,"",UserInput!B121)</f>
        <v/>
      </c>
      <c r="D122" t="str">
        <f t="shared" si="10"/>
        <v/>
      </c>
      <c r="E122" t="str">
        <f>IF(UserInput!B121=0,"",UserInput!B121)</f>
        <v/>
      </c>
      <c r="G122" s="16"/>
      <c r="H122" s="15" t="str">
        <f>IF(UserInput!D121="","",IF(UserInput!D121=UserInput!D120,"","SET "&amp;UserInput!D121&amp;"TIMESreport '"&amp;UserInput!D121&amp;" TIMESreport'/ "))</f>
        <v/>
      </c>
      <c r="I122" s="15" t="str">
        <f>IF(UserInput!B121=0,"",UserInput!B121)</f>
        <v/>
      </c>
      <c r="J122" s="15" t="str">
        <f>IF(UserInput!C121=0,"","'"&amp;UserInput!C121&amp;"'")</f>
        <v/>
      </c>
      <c r="K122" s="15" t="str">
        <f>IF(I122="","",IF(UserInput!D121=UserInput!D122,"","/ ;"))</f>
        <v/>
      </c>
      <c r="M122" t="str">
        <f t="shared" si="14"/>
        <v/>
      </c>
      <c r="N122" s="13" t="str">
        <f t="shared" si="11"/>
        <v xml:space="preserve"> </v>
      </c>
      <c r="O122" t="str">
        <f t="shared" si="12"/>
        <v/>
      </c>
      <c r="Q122" s="16"/>
      <c r="R122" s="15" t="str">
        <f>IF(UserInput!H121=0,"",IF(UserInput!H121=UserInput!H120,"","SET "&amp;UserInput!H121&amp;"TIMESreport '"&amp;UserInput!H121&amp;" TIMESreport'/ "))</f>
        <v/>
      </c>
      <c r="S122" s="15" t="str">
        <f>IF(UserInput!F121=0,"",UserInput!F121)</f>
        <v/>
      </c>
      <c r="T122" s="15" t="str">
        <f>IF(UserInput!G121=0,"","'"&amp;UserInput!G121&amp;"'")</f>
        <v/>
      </c>
      <c r="U122" s="15" t="str">
        <f>IF(S122="","",IF(UserInput!H121=UserInput!H122,"","/ ;"))</f>
        <v/>
      </c>
      <c r="W122" t="str">
        <f t="shared" si="15"/>
        <v/>
      </c>
      <c r="X122" t="str">
        <f t="shared" si="8"/>
        <v xml:space="preserve"> </v>
      </c>
      <c r="Y122" t="str">
        <f t="shared" si="13"/>
        <v/>
      </c>
    </row>
    <row r="123" spans="1:25" x14ac:dyDescent="0.4">
      <c r="A123" s="16"/>
      <c r="B123" t="str">
        <f t="shared" si="9"/>
        <v/>
      </c>
      <c r="C123" t="str">
        <f>IF(UserInput!B122=0,"",UserInput!B122)</f>
        <v/>
      </c>
      <c r="D123" t="str">
        <f t="shared" si="10"/>
        <v/>
      </c>
      <c r="E123" t="str">
        <f>IF(UserInput!B122=0,"",UserInput!B122)</f>
        <v/>
      </c>
      <c r="G123" s="16"/>
      <c r="H123" s="15" t="str">
        <f>IF(UserInput!D122="","",IF(UserInput!D122=UserInput!D121,"","SET "&amp;UserInput!D122&amp;"TIMESreport '"&amp;UserInput!D122&amp;" TIMESreport'/ "))</f>
        <v/>
      </c>
      <c r="I123" s="15" t="str">
        <f>IF(UserInput!B122=0,"",UserInput!B122)</f>
        <v/>
      </c>
      <c r="J123" s="15" t="str">
        <f>IF(UserInput!C122=0,"","'"&amp;UserInput!C122&amp;"'")</f>
        <v/>
      </c>
      <c r="K123" s="15" t="str">
        <f>IF(I123="","",IF(UserInput!D122=UserInput!D123,"","/ ;"))</f>
        <v/>
      </c>
      <c r="M123" t="str">
        <f t="shared" si="14"/>
        <v/>
      </c>
      <c r="N123" s="13" t="str">
        <f t="shared" si="11"/>
        <v xml:space="preserve"> </v>
      </c>
      <c r="O123" t="str">
        <f t="shared" si="12"/>
        <v/>
      </c>
      <c r="Q123" s="16"/>
      <c r="R123" s="15" t="str">
        <f>IF(UserInput!H122=0,"",IF(UserInput!H122=UserInput!H121,"","SET "&amp;UserInput!H122&amp;"TIMESreport '"&amp;UserInput!H122&amp;" TIMESreport'/ "))</f>
        <v/>
      </c>
      <c r="S123" s="15" t="str">
        <f>IF(UserInput!F122=0,"",UserInput!F122)</f>
        <v/>
      </c>
      <c r="T123" s="15" t="str">
        <f>IF(UserInput!G122=0,"","'"&amp;UserInput!G122&amp;"'")</f>
        <v/>
      </c>
      <c r="U123" s="15" t="str">
        <f>IF(S123="","",IF(UserInput!H122=UserInput!H123,"","/ ;"))</f>
        <v/>
      </c>
      <c r="W123" t="str">
        <f t="shared" si="15"/>
        <v/>
      </c>
      <c r="X123" t="str">
        <f t="shared" si="8"/>
        <v xml:space="preserve"> </v>
      </c>
      <c r="Y123" t="str">
        <f t="shared" si="13"/>
        <v/>
      </c>
    </row>
    <row r="124" spans="1:25" x14ac:dyDescent="0.4">
      <c r="A124" s="16"/>
      <c r="B124" t="str">
        <f t="shared" si="9"/>
        <v/>
      </c>
      <c r="C124" t="str">
        <f>IF(UserInput!B123=0,"",UserInput!B123)</f>
        <v/>
      </c>
      <c r="D124" t="str">
        <f t="shared" si="10"/>
        <v/>
      </c>
      <c r="E124" t="str">
        <f>IF(UserInput!B123=0,"",UserInput!B123)</f>
        <v/>
      </c>
      <c r="G124" s="16"/>
      <c r="H124" s="15" t="str">
        <f>IF(UserInput!D123="","",IF(UserInput!D123=UserInput!D122,"","SET "&amp;UserInput!D123&amp;"TIMESreport '"&amp;UserInput!D123&amp;" TIMESreport'/ "))</f>
        <v/>
      </c>
      <c r="I124" s="15" t="str">
        <f>IF(UserInput!B123=0,"",UserInput!B123)</f>
        <v/>
      </c>
      <c r="J124" s="15" t="str">
        <f>IF(UserInput!C123=0,"","'"&amp;UserInput!C123&amp;"'")</f>
        <v/>
      </c>
      <c r="K124" s="15" t="str">
        <f>IF(I124="","",IF(UserInput!D123=UserInput!D124,"","/ ;"))</f>
        <v/>
      </c>
      <c r="M124" t="str">
        <f t="shared" si="14"/>
        <v/>
      </c>
      <c r="N124" s="13" t="str">
        <f t="shared" si="11"/>
        <v xml:space="preserve"> </v>
      </c>
      <c r="O124" t="str">
        <f t="shared" si="12"/>
        <v/>
      </c>
      <c r="Q124" s="16"/>
      <c r="R124" s="15" t="str">
        <f>IF(UserInput!H123=0,"",IF(UserInput!H123=UserInput!H122,"","SET "&amp;UserInput!H123&amp;"TIMESreport '"&amp;UserInput!H123&amp;" TIMESreport'/ "))</f>
        <v/>
      </c>
      <c r="S124" s="15" t="str">
        <f>IF(UserInput!F123=0,"",UserInput!F123)</f>
        <v/>
      </c>
      <c r="T124" s="15" t="str">
        <f>IF(UserInput!G123=0,"","'"&amp;UserInput!G123&amp;"'")</f>
        <v/>
      </c>
      <c r="U124" s="15" t="str">
        <f>IF(S124="","",IF(UserInput!H123=UserInput!H124,"","/ ;"))</f>
        <v/>
      </c>
      <c r="W124" t="str">
        <f t="shared" si="15"/>
        <v/>
      </c>
      <c r="X124" t="str">
        <f t="shared" si="8"/>
        <v xml:space="preserve"> </v>
      </c>
      <c r="Y124" t="str">
        <f t="shared" si="13"/>
        <v/>
      </c>
    </row>
    <row r="125" spans="1:25" x14ac:dyDescent="0.4">
      <c r="A125" s="16"/>
      <c r="B125" t="str">
        <f t="shared" si="9"/>
        <v/>
      </c>
      <c r="C125" t="str">
        <f>IF(UserInput!B124=0,"",UserInput!B124)</f>
        <v/>
      </c>
      <c r="D125" t="str">
        <f t="shared" si="10"/>
        <v/>
      </c>
      <c r="E125" t="str">
        <f>IF(UserInput!B124=0,"",UserInput!B124)</f>
        <v/>
      </c>
      <c r="G125" s="16"/>
      <c r="H125" s="15" t="str">
        <f>IF(UserInput!D124="","",IF(UserInput!D124=UserInput!D123,"","SET "&amp;UserInput!D124&amp;"TIMESreport '"&amp;UserInput!D124&amp;" TIMESreport'/ "))</f>
        <v/>
      </c>
      <c r="I125" s="15" t="str">
        <f>IF(UserInput!B124=0,"",UserInput!B124)</f>
        <v/>
      </c>
      <c r="J125" s="15" t="str">
        <f>IF(UserInput!C124=0,"","'"&amp;UserInput!C124&amp;"'")</f>
        <v/>
      </c>
      <c r="K125" s="15" t="str">
        <f>IF(I125="","",IF(UserInput!D124=UserInput!D125,"","/ ;"))</f>
        <v/>
      </c>
      <c r="M125" t="str">
        <f t="shared" si="14"/>
        <v/>
      </c>
      <c r="N125" s="13" t="str">
        <f t="shared" si="11"/>
        <v xml:space="preserve"> </v>
      </c>
      <c r="O125" t="str">
        <f t="shared" si="12"/>
        <v/>
      </c>
      <c r="Q125" s="16"/>
      <c r="R125" s="15" t="str">
        <f>IF(UserInput!H124=0,"",IF(UserInput!H124=UserInput!H123,"","SET "&amp;UserInput!H124&amp;"TIMESreport '"&amp;UserInput!H124&amp;" TIMESreport'/ "))</f>
        <v/>
      </c>
      <c r="S125" s="15" t="str">
        <f>IF(UserInput!F124=0,"",UserInput!F124)</f>
        <v/>
      </c>
      <c r="T125" s="15" t="str">
        <f>IF(UserInput!G124=0,"","'"&amp;UserInput!G124&amp;"'")</f>
        <v/>
      </c>
      <c r="U125" s="15" t="str">
        <f>IF(S125="","",IF(UserInput!H124=UserInput!H125,"","/ ;"))</f>
        <v/>
      </c>
      <c r="W125" t="str">
        <f t="shared" si="15"/>
        <v/>
      </c>
      <c r="X125" t="str">
        <f t="shared" si="8"/>
        <v xml:space="preserve"> </v>
      </c>
      <c r="Y125" t="str">
        <f t="shared" si="13"/>
        <v/>
      </c>
    </row>
    <row r="126" spans="1:25" x14ac:dyDescent="0.4">
      <c r="A126" s="16"/>
      <c r="B126" t="str">
        <f t="shared" si="9"/>
        <v/>
      </c>
      <c r="C126" t="str">
        <f>IF(UserInput!B125=0,"",UserInput!B125)</f>
        <v/>
      </c>
      <c r="D126" t="str">
        <f t="shared" si="10"/>
        <v/>
      </c>
      <c r="E126" t="str">
        <f>IF(UserInput!B125=0,"",UserInput!B125)</f>
        <v/>
      </c>
      <c r="G126" s="16"/>
      <c r="H126" s="15" t="str">
        <f>IF(UserInput!D125="","",IF(UserInput!D125=UserInput!D124,"","SET "&amp;UserInput!D125&amp;"TIMESreport '"&amp;UserInput!D125&amp;" TIMESreport'/ "))</f>
        <v/>
      </c>
      <c r="I126" s="15" t="str">
        <f>IF(UserInput!B125=0,"",UserInput!B125)</f>
        <v/>
      </c>
      <c r="J126" s="15" t="str">
        <f>IF(UserInput!C125=0,"","'"&amp;UserInput!C125&amp;"'")</f>
        <v/>
      </c>
      <c r="K126" s="15" t="str">
        <f>IF(I126="","",IF(UserInput!D125=UserInput!D126,"","/ ;"))</f>
        <v/>
      </c>
      <c r="M126" t="str">
        <f t="shared" si="14"/>
        <v/>
      </c>
      <c r="N126" s="13" t="str">
        <f t="shared" si="11"/>
        <v xml:space="preserve"> </v>
      </c>
      <c r="O126" t="str">
        <f t="shared" si="12"/>
        <v/>
      </c>
      <c r="Q126" s="16"/>
      <c r="R126" s="15" t="str">
        <f>IF(UserInput!H125=0,"",IF(UserInput!H125=UserInput!H124,"","SET "&amp;UserInput!H125&amp;"TIMESreport '"&amp;UserInput!H125&amp;" TIMESreport'/ "))</f>
        <v/>
      </c>
      <c r="S126" s="15" t="str">
        <f>IF(UserInput!F125=0,"",UserInput!F125)</f>
        <v/>
      </c>
      <c r="T126" s="15" t="str">
        <f>IF(UserInput!G125=0,"","'"&amp;UserInput!G125&amp;"'")</f>
        <v/>
      </c>
      <c r="U126" s="15" t="str">
        <f>IF(S126="","",IF(UserInput!H125=UserInput!H126,"","/ ;"))</f>
        <v/>
      </c>
      <c r="W126" t="str">
        <f t="shared" si="15"/>
        <v/>
      </c>
      <c r="X126" t="str">
        <f t="shared" si="8"/>
        <v xml:space="preserve"> </v>
      </c>
      <c r="Y126" t="str">
        <f t="shared" si="13"/>
        <v/>
      </c>
    </row>
    <row r="127" spans="1:25" x14ac:dyDescent="0.4">
      <c r="A127" s="16"/>
      <c r="B127" t="str">
        <f t="shared" si="9"/>
        <v/>
      </c>
      <c r="C127" t="str">
        <f>IF(UserInput!B126=0,"",UserInput!B126)</f>
        <v/>
      </c>
      <c r="D127" t="str">
        <f t="shared" si="10"/>
        <v/>
      </c>
      <c r="E127" t="str">
        <f>IF(UserInput!B126=0,"",UserInput!B126)</f>
        <v/>
      </c>
      <c r="G127" s="16"/>
      <c r="H127" s="15" t="str">
        <f>IF(UserInput!D126="","",IF(UserInput!D126=UserInput!D125,"","SET "&amp;UserInput!D126&amp;"TIMESreport '"&amp;UserInput!D126&amp;" TIMESreport'/ "))</f>
        <v/>
      </c>
      <c r="I127" s="15" t="str">
        <f>IF(UserInput!B126=0,"",UserInput!B126)</f>
        <v/>
      </c>
      <c r="J127" s="15" t="str">
        <f>IF(UserInput!C126=0,"","'"&amp;UserInput!C126&amp;"'")</f>
        <v/>
      </c>
      <c r="K127" s="15" t="str">
        <f>IF(I127="","",IF(UserInput!D126=UserInput!D127,"","/ ;"))</f>
        <v/>
      </c>
      <c r="M127" t="str">
        <f t="shared" si="14"/>
        <v/>
      </c>
      <c r="N127" s="13" t="str">
        <f t="shared" si="11"/>
        <v xml:space="preserve"> </v>
      </c>
      <c r="O127" t="str">
        <f t="shared" si="12"/>
        <v/>
      </c>
      <c r="Q127" s="16"/>
      <c r="R127" s="15" t="str">
        <f>IF(UserInput!H126=0,"",IF(UserInput!H126=UserInput!H125,"","SET "&amp;UserInput!H126&amp;"TIMESreport '"&amp;UserInput!H126&amp;" TIMESreport'/ "))</f>
        <v/>
      </c>
      <c r="S127" s="15" t="str">
        <f>IF(UserInput!F126=0,"",UserInput!F126)</f>
        <v/>
      </c>
      <c r="T127" s="15" t="str">
        <f>IF(UserInput!G126=0,"","'"&amp;UserInput!G126&amp;"'")</f>
        <v/>
      </c>
      <c r="U127" s="15" t="str">
        <f>IF(S127="","",IF(UserInput!H126=UserInput!H127,"","/ ;"))</f>
        <v/>
      </c>
      <c r="W127" t="str">
        <f t="shared" si="15"/>
        <v/>
      </c>
      <c r="X127" t="str">
        <f t="shared" si="8"/>
        <v xml:space="preserve"> </v>
      </c>
      <c r="Y127" t="str">
        <f t="shared" si="13"/>
        <v/>
      </c>
    </row>
    <row r="128" spans="1:25" x14ac:dyDescent="0.4">
      <c r="A128" s="16"/>
      <c r="B128" t="str">
        <f t="shared" si="9"/>
        <v/>
      </c>
      <c r="C128" t="str">
        <f>IF(UserInput!B127=0,"",UserInput!B127)</f>
        <v/>
      </c>
      <c r="D128" t="str">
        <f t="shared" si="10"/>
        <v/>
      </c>
      <c r="E128" t="str">
        <f>IF(UserInput!B127=0,"",UserInput!B127)</f>
        <v/>
      </c>
      <c r="G128" s="16"/>
      <c r="H128" s="15" t="str">
        <f>IF(UserInput!D127="","",IF(UserInput!D127=UserInput!D126,"","SET "&amp;UserInput!D127&amp;"TIMESreport '"&amp;UserInput!D127&amp;" TIMESreport'/ "))</f>
        <v/>
      </c>
      <c r="I128" s="15" t="str">
        <f>IF(UserInput!B127=0,"",UserInput!B127)</f>
        <v/>
      </c>
      <c r="J128" s="15" t="str">
        <f>IF(UserInput!C127=0,"","'"&amp;UserInput!C127&amp;"'")</f>
        <v/>
      </c>
      <c r="K128" s="15" t="str">
        <f>IF(I128="","",IF(UserInput!D127=UserInput!D128,"","/ ;"))</f>
        <v/>
      </c>
      <c r="M128" t="str">
        <f t="shared" si="14"/>
        <v/>
      </c>
      <c r="N128" s="13" t="str">
        <f t="shared" si="11"/>
        <v xml:space="preserve"> </v>
      </c>
      <c r="O128" t="str">
        <f t="shared" si="12"/>
        <v/>
      </c>
      <c r="Q128" s="16"/>
      <c r="R128" s="15" t="str">
        <f>IF(UserInput!H127=0,"",IF(UserInput!H127=UserInput!H126,"","SET "&amp;UserInput!H127&amp;"TIMESreport '"&amp;UserInput!H127&amp;" TIMESreport'/ "))</f>
        <v/>
      </c>
      <c r="S128" s="15" t="str">
        <f>IF(UserInput!F127=0,"",UserInput!F127)</f>
        <v/>
      </c>
      <c r="T128" s="15" t="str">
        <f>IF(UserInput!G127=0,"","'"&amp;UserInput!G127&amp;"'")</f>
        <v/>
      </c>
      <c r="U128" s="15" t="str">
        <f>IF(S128="","",IF(UserInput!H127=UserInput!H128,"","/ ;"))</f>
        <v/>
      </c>
      <c r="W128" t="str">
        <f t="shared" si="15"/>
        <v/>
      </c>
      <c r="X128" t="str">
        <f t="shared" si="8"/>
        <v xml:space="preserve"> </v>
      </c>
      <c r="Y128" t="str">
        <f t="shared" si="13"/>
        <v/>
      </c>
    </row>
    <row r="129" spans="1:25" x14ac:dyDescent="0.4">
      <c r="A129" s="16"/>
      <c r="B129" t="str">
        <f t="shared" si="9"/>
        <v/>
      </c>
      <c r="C129" t="str">
        <f>IF(UserInput!B128=0,"",UserInput!B128)</f>
        <v/>
      </c>
      <c r="D129" t="str">
        <f t="shared" si="10"/>
        <v/>
      </c>
      <c r="E129" t="str">
        <f>IF(UserInput!B128=0,"",UserInput!B128)</f>
        <v/>
      </c>
      <c r="G129" s="16"/>
      <c r="H129" s="15" t="str">
        <f>IF(UserInput!D128="","",IF(UserInput!D128=UserInput!D127,"","SET "&amp;UserInput!D128&amp;"TIMESreport '"&amp;UserInput!D128&amp;" TIMESreport'/ "))</f>
        <v/>
      </c>
      <c r="I129" s="15" t="str">
        <f>IF(UserInput!B128=0,"",UserInput!B128)</f>
        <v/>
      </c>
      <c r="J129" s="15" t="str">
        <f>IF(UserInput!C128=0,"","'"&amp;UserInput!C128&amp;"'")</f>
        <v/>
      </c>
      <c r="K129" s="15" t="str">
        <f>IF(I129="","",IF(UserInput!D128=UserInput!D129,"","/ ;"))</f>
        <v/>
      </c>
      <c r="M129" t="str">
        <f t="shared" si="14"/>
        <v/>
      </c>
      <c r="N129" s="13" t="str">
        <f t="shared" si="11"/>
        <v xml:space="preserve"> </v>
      </c>
      <c r="O129" t="str">
        <f t="shared" si="12"/>
        <v/>
      </c>
      <c r="Q129" s="16"/>
      <c r="R129" s="15" t="str">
        <f>IF(UserInput!H128=0,"",IF(UserInput!H128=UserInput!H127,"","SET "&amp;UserInput!H128&amp;"TIMESreport '"&amp;UserInput!H128&amp;" TIMESreport'/ "))</f>
        <v/>
      </c>
      <c r="S129" s="15" t="str">
        <f>IF(UserInput!F128=0,"",UserInput!F128)</f>
        <v/>
      </c>
      <c r="T129" s="15" t="str">
        <f>IF(UserInput!G128=0,"","'"&amp;UserInput!G128&amp;"'")</f>
        <v/>
      </c>
      <c r="U129" s="15" t="str">
        <f>IF(S129="","",IF(UserInput!H128=UserInput!H129,"","/ ;"))</f>
        <v/>
      </c>
      <c r="W129" t="str">
        <f t="shared" si="15"/>
        <v/>
      </c>
      <c r="X129" t="str">
        <f t="shared" si="8"/>
        <v xml:space="preserve"> </v>
      </c>
      <c r="Y129" t="str">
        <f t="shared" si="13"/>
        <v/>
      </c>
    </row>
    <row r="130" spans="1:25" x14ac:dyDescent="0.4">
      <c r="A130" s="16"/>
      <c r="B130" t="str">
        <f t="shared" si="9"/>
        <v/>
      </c>
      <c r="C130" t="str">
        <f>IF(UserInput!B129=0,"",UserInput!B129)</f>
        <v/>
      </c>
      <c r="D130" t="str">
        <f t="shared" si="10"/>
        <v/>
      </c>
      <c r="E130" t="str">
        <f>IF(UserInput!B129=0,"",UserInput!B129)</f>
        <v/>
      </c>
      <c r="G130" s="16"/>
      <c r="H130" s="15" t="str">
        <f>IF(UserInput!D129="","",IF(UserInput!D129=UserInput!D128,"","SET "&amp;UserInput!D129&amp;"TIMESreport '"&amp;UserInput!D129&amp;" TIMESreport'/ "))</f>
        <v/>
      </c>
      <c r="I130" s="15" t="str">
        <f>IF(UserInput!B129=0,"",UserInput!B129)</f>
        <v/>
      </c>
      <c r="J130" s="15" t="str">
        <f>IF(UserInput!C129=0,"","'"&amp;UserInput!C129&amp;"'")</f>
        <v/>
      </c>
      <c r="K130" s="15" t="str">
        <f>IF(I130="","",IF(UserInput!D129=UserInput!D130,"","/ ;"))</f>
        <v/>
      </c>
      <c r="M130" t="str">
        <f t="shared" si="14"/>
        <v/>
      </c>
      <c r="N130" s="13" t="str">
        <f t="shared" si="11"/>
        <v xml:space="preserve"> </v>
      </c>
      <c r="O130" t="str">
        <f t="shared" si="12"/>
        <v/>
      </c>
      <c r="Q130" s="16"/>
      <c r="R130" s="15" t="str">
        <f>IF(UserInput!H129=0,"",IF(UserInput!H129=UserInput!H128,"","SET "&amp;UserInput!H129&amp;"TIMESreport '"&amp;UserInput!H129&amp;" TIMESreport'/ "))</f>
        <v/>
      </c>
      <c r="S130" s="15" t="str">
        <f>IF(UserInput!F129=0,"",UserInput!F129)</f>
        <v/>
      </c>
      <c r="T130" s="15" t="str">
        <f>IF(UserInput!G129=0,"","'"&amp;UserInput!G129&amp;"'")</f>
        <v/>
      </c>
      <c r="U130" s="15" t="str">
        <f>IF(S130="","",IF(UserInput!H129=UserInput!H130,"","/ ;"))</f>
        <v/>
      </c>
      <c r="W130" t="str">
        <f t="shared" si="15"/>
        <v/>
      </c>
      <c r="X130" t="str">
        <f t="shared" si="8"/>
        <v xml:space="preserve"> </v>
      </c>
      <c r="Y130" t="str">
        <f t="shared" si="13"/>
        <v/>
      </c>
    </row>
    <row r="131" spans="1:25" x14ac:dyDescent="0.4">
      <c r="A131" s="16"/>
      <c r="B131" t="str">
        <f t="shared" si="9"/>
        <v/>
      </c>
      <c r="C131" t="str">
        <f>IF(UserInput!B130=0,"",UserInput!B130)</f>
        <v/>
      </c>
      <c r="D131" t="str">
        <f t="shared" si="10"/>
        <v/>
      </c>
      <c r="E131" t="str">
        <f>IF(UserInput!B130=0,"",UserInput!B130)</f>
        <v/>
      </c>
      <c r="G131" s="16"/>
      <c r="H131" s="15" t="str">
        <f>IF(UserInput!D130="","",IF(UserInput!D130=UserInput!D129,"","SET "&amp;UserInput!D130&amp;"TIMESreport '"&amp;UserInput!D130&amp;" TIMESreport'/ "))</f>
        <v/>
      </c>
      <c r="I131" s="15" t="str">
        <f>IF(UserInput!B130=0,"",UserInput!B130)</f>
        <v/>
      </c>
      <c r="J131" s="15" t="str">
        <f>IF(UserInput!C130=0,"","'"&amp;UserInput!C130&amp;"'")</f>
        <v/>
      </c>
      <c r="K131" s="15" t="str">
        <f>IF(I131="","",IF(UserInput!D130=UserInput!D131,"","/ ;"))</f>
        <v/>
      </c>
      <c r="M131" t="str">
        <f t="shared" si="14"/>
        <v/>
      </c>
      <c r="N131" s="13" t="str">
        <f t="shared" si="11"/>
        <v xml:space="preserve"> </v>
      </c>
      <c r="O131" t="str">
        <f t="shared" si="12"/>
        <v/>
      </c>
      <c r="Q131" s="16"/>
      <c r="R131" s="15" t="str">
        <f>IF(UserInput!H130=0,"",IF(UserInput!H130=UserInput!H129,"","SET "&amp;UserInput!H130&amp;"TIMESreport '"&amp;UserInput!H130&amp;" TIMESreport'/ "))</f>
        <v/>
      </c>
      <c r="S131" s="15" t="str">
        <f>IF(UserInput!F130=0,"",UserInput!F130)</f>
        <v/>
      </c>
      <c r="T131" s="15" t="str">
        <f>IF(UserInput!G130=0,"","'"&amp;UserInput!G130&amp;"'")</f>
        <v/>
      </c>
      <c r="U131" s="15" t="str">
        <f>IF(S131="","",IF(UserInput!H130=UserInput!H131,"","/ ;"))</f>
        <v/>
      </c>
      <c r="W131" t="str">
        <f t="shared" si="15"/>
        <v/>
      </c>
      <c r="X131" t="str">
        <f t="shared" si="8"/>
        <v xml:space="preserve"> </v>
      </c>
      <c r="Y131" t="str">
        <f t="shared" si="13"/>
        <v/>
      </c>
    </row>
    <row r="132" spans="1:25" x14ac:dyDescent="0.4">
      <c r="A132" s="16"/>
      <c r="B132" t="str">
        <f t="shared" si="9"/>
        <v/>
      </c>
      <c r="C132" t="str">
        <f>IF(UserInput!B131=0,"",UserInput!B131)</f>
        <v/>
      </c>
      <c r="D132" t="str">
        <f t="shared" si="10"/>
        <v/>
      </c>
      <c r="E132" t="str">
        <f>IF(UserInput!B131=0,"",UserInput!B131)</f>
        <v/>
      </c>
      <c r="G132" s="16"/>
      <c r="H132" s="15" t="str">
        <f>IF(UserInput!D131="","",IF(UserInput!D131=UserInput!D130,"","SET "&amp;UserInput!D131&amp;"TIMESreport '"&amp;UserInput!D131&amp;" TIMESreport'/ "))</f>
        <v/>
      </c>
      <c r="I132" s="15" t="str">
        <f>IF(UserInput!B131=0,"",UserInput!B131)</f>
        <v/>
      </c>
      <c r="J132" s="15" t="str">
        <f>IF(UserInput!C131=0,"","'"&amp;UserInput!C131&amp;"'")</f>
        <v/>
      </c>
      <c r="K132" s="15" t="str">
        <f>IF(I132="","",IF(UserInput!D131=UserInput!D132,"","/ ;"))</f>
        <v/>
      </c>
      <c r="M132" t="str">
        <f t="shared" si="14"/>
        <v/>
      </c>
      <c r="N132" s="13" t="str">
        <f t="shared" si="11"/>
        <v xml:space="preserve"> </v>
      </c>
      <c r="O132" t="str">
        <f t="shared" si="12"/>
        <v/>
      </c>
      <c r="Q132" s="16"/>
      <c r="R132" s="15" t="str">
        <f>IF(UserInput!H131=0,"",IF(UserInput!H131=UserInput!H130,"","SET "&amp;UserInput!H131&amp;"TIMESreport '"&amp;UserInput!H131&amp;" TIMESreport'/ "))</f>
        <v/>
      </c>
      <c r="S132" s="15" t="str">
        <f>IF(UserInput!F131=0,"",UserInput!F131)</f>
        <v/>
      </c>
      <c r="T132" s="15" t="str">
        <f>IF(UserInput!G131=0,"","'"&amp;UserInput!G131&amp;"'")</f>
        <v/>
      </c>
      <c r="U132" s="15" t="str">
        <f>IF(S132="","",IF(UserInput!H131=UserInput!H132,"","/ ;"))</f>
        <v/>
      </c>
      <c r="W132" t="str">
        <f t="shared" si="15"/>
        <v/>
      </c>
      <c r="X132" t="str">
        <f t="shared" si="8"/>
        <v xml:space="preserve"> </v>
      </c>
      <c r="Y132" t="str">
        <f t="shared" si="13"/>
        <v/>
      </c>
    </row>
    <row r="133" spans="1:25" x14ac:dyDescent="0.4">
      <c r="A133" s="16"/>
      <c r="B133" t="str">
        <f t="shared" si="9"/>
        <v/>
      </c>
      <c r="C133" t="str">
        <f>IF(UserInput!B132=0,"",UserInput!B132)</f>
        <v/>
      </c>
      <c r="D133" t="str">
        <f t="shared" si="10"/>
        <v/>
      </c>
      <c r="E133" t="str">
        <f>IF(UserInput!B132=0,"",UserInput!B132)</f>
        <v/>
      </c>
      <c r="G133" s="16"/>
      <c r="H133" s="15" t="str">
        <f>IF(UserInput!D132="","",IF(UserInput!D132=UserInput!D131,"","SET "&amp;UserInput!D132&amp;"TIMESreport '"&amp;UserInput!D132&amp;" TIMESreport'/ "))</f>
        <v/>
      </c>
      <c r="I133" s="15" t="str">
        <f>IF(UserInput!B132=0,"",UserInput!B132)</f>
        <v/>
      </c>
      <c r="J133" s="15" t="str">
        <f>IF(UserInput!C132=0,"","'"&amp;UserInput!C132&amp;"'")</f>
        <v/>
      </c>
      <c r="K133" s="15" t="str">
        <f>IF(I133="","",IF(UserInput!D132=UserInput!D133,"","/ ;"))</f>
        <v/>
      </c>
      <c r="M133" t="str">
        <f t="shared" si="14"/>
        <v/>
      </c>
      <c r="N133" s="13" t="str">
        <f t="shared" si="11"/>
        <v xml:space="preserve"> </v>
      </c>
      <c r="O133" t="str">
        <f t="shared" si="12"/>
        <v/>
      </c>
      <c r="Q133" s="16"/>
      <c r="R133" s="15" t="str">
        <f>IF(UserInput!H132=0,"",IF(UserInput!H132=UserInput!H131,"","SET "&amp;UserInput!H132&amp;"TIMESreport '"&amp;UserInput!H132&amp;" TIMESreport'/ "))</f>
        <v/>
      </c>
      <c r="S133" s="15" t="str">
        <f>IF(UserInput!F132=0,"",UserInput!F132)</f>
        <v/>
      </c>
      <c r="T133" s="15" t="str">
        <f>IF(UserInput!G132=0,"","'"&amp;UserInput!G132&amp;"'")</f>
        <v/>
      </c>
      <c r="U133" s="15" t="str">
        <f>IF(S133="","",IF(UserInput!H132=UserInput!H133,"","/ ;"))</f>
        <v/>
      </c>
      <c r="W133" t="str">
        <f t="shared" si="15"/>
        <v/>
      </c>
      <c r="X133" t="str">
        <f t="shared" si="8"/>
        <v xml:space="preserve"> </v>
      </c>
      <c r="Y133" t="str">
        <f t="shared" si="13"/>
        <v/>
      </c>
    </row>
    <row r="134" spans="1:25" x14ac:dyDescent="0.4">
      <c r="A134" s="16"/>
      <c r="B134" t="str">
        <f t="shared" si="9"/>
        <v/>
      </c>
      <c r="C134" t="str">
        <f>IF(UserInput!B133=0,"",UserInput!B133)</f>
        <v/>
      </c>
      <c r="D134" t="str">
        <f t="shared" si="10"/>
        <v/>
      </c>
      <c r="E134" t="str">
        <f>IF(UserInput!B133=0,"",UserInput!B133)</f>
        <v/>
      </c>
      <c r="G134" s="16"/>
      <c r="H134" s="15" t="str">
        <f>IF(UserInput!D133="","",IF(UserInput!D133=UserInput!D132,"","SET "&amp;UserInput!D133&amp;"TIMESreport '"&amp;UserInput!D133&amp;" TIMESreport'/ "))</f>
        <v/>
      </c>
      <c r="I134" s="15" t="str">
        <f>IF(UserInput!B133=0,"",UserInput!B133)</f>
        <v/>
      </c>
      <c r="J134" s="15" t="str">
        <f>IF(UserInput!C133=0,"","'"&amp;UserInput!C133&amp;"'")</f>
        <v/>
      </c>
      <c r="K134" s="15" t="str">
        <f>IF(I134="","",IF(UserInput!D133=UserInput!D134,"","/ ;"))</f>
        <v/>
      </c>
      <c r="M134" t="str">
        <f t="shared" si="14"/>
        <v/>
      </c>
      <c r="N134" s="13" t="str">
        <f t="shared" si="11"/>
        <v xml:space="preserve"> </v>
      </c>
      <c r="O134" t="str">
        <f t="shared" si="12"/>
        <v/>
      </c>
      <c r="Q134" s="16"/>
      <c r="R134" s="15" t="str">
        <f>IF(UserInput!H133=0,"",IF(UserInput!H133=UserInput!H132,"","SET "&amp;UserInput!H133&amp;"TIMESreport '"&amp;UserInput!H133&amp;" TIMESreport'/ "))</f>
        <v/>
      </c>
      <c r="S134" s="15" t="str">
        <f>IF(UserInput!F133=0,"",UserInput!F133)</f>
        <v/>
      </c>
      <c r="T134" s="15" t="str">
        <f>IF(UserInput!G133=0,"","'"&amp;UserInput!G133&amp;"'")</f>
        <v/>
      </c>
      <c r="U134" s="15" t="str">
        <f>IF(S134="","",IF(UserInput!H133=UserInput!H134,"","/ ;"))</f>
        <v/>
      </c>
      <c r="W134" t="str">
        <f t="shared" si="15"/>
        <v/>
      </c>
      <c r="X134" t="str">
        <f t="shared" si="8"/>
        <v xml:space="preserve"> </v>
      </c>
      <c r="Y134" t="str">
        <f t="shared" si="13"/>
        <v/>
      </c>
    </row>
    <row r="135" spans="1:25" x14ac:dyDescent="0.4">
      <c r="A135" s="16"/>
      <c r="B135" t="str">
        <f t="shared" si="9"/>
        <v/>
      </c>
      <c r="C135" t="str">
        <f>IF(UserInput!B134=0,"",UserInput!B134)</f>
        <v/>
      </c>
      <c r="D135" t="str">
        <f t="shared" si="10"/>
        <v/>
      </c>
      <c r="E135" t="str">
        <f>IF(UserInput!B134=0,"",UserInput!B134)</f>
        <v/>
      </c>
      <c r="G135" s="16"/>
      <c r="H135" s="15" t="str">
        <f>IF(UserInput!D134="","",IF(UserInput!D134=UserInput!D133,"","SET "&amp;UserInput!D134&amp;"TIMESreport '"&amp;UserInput!D134&amp;" TIMESreport'/ "))</f>
        <v/>
      </c>
      <c r="I135" s="15" t="str">
        <f>IF(UserInput!B134=0,"",UserInput!B134)</f>
        <v/>
      </c>
      <c r="J135" s="15" t="str">
        <f>IF(UserInput!C134=0,"","'"&amp;UserInput!C134&amp;"'")</f>
        <v/>
      </c>
      <c r="K135" s="15" t="str">
        <f>IF(I135="","",IF(UserInput!D134=UserInput!D135,"","/ ;"))</f>
        <v/>
      </c>
      <c r="M135" t="str">
        <f t="shared" si="14"/>
        <v/>
      </c>
      <c r="N135" s="13" t="str">
        <f t="shared" si="11"/>
        <v xml:space="preserve"> </v>
      </c>
      <c r="O135" t="str">
        <f t="shared" si="12"/>
        <v/>
      </c>
      <c r="Q135" s="16"/>
      <c r="R135" s="15" t="str">
        <f>IF(UserInput!H134=0,"",IF(UserInput!H134=UserInput!H133,"","SET "&amp;UserInput!H134&amp;"TIMESreport '"&amp;UserInput!H134&amp;" TIMESreport'/ "))</f>
        <v/>
      </c>
      <c r="S135" s="15" t="str">
        <f>IF(UserInput!F134=0,"",UserInput!F134)</f>
        <v/>
      </c>
      <c r="T135" s="15" t="str">
        <f>IF(UserInput!G134=0,"","'"&amp;UserInput!G134&amp;"'")</f>
        <v/>
      </c>
      <c r="U135" s="15" t="str">
        <f>IF(S135="","",IF(UserInput!H134=UserInput!H135,"","/ ;"))</f>
        <v/>
      </c>
      <c r="W135" t="str">
        <f t="shared" si="15"/>
        <v/>
      </c>
      <c r="X135" t="str">
        <f t="shared" ref="X135:X197" si="16">_xlfn.CONCAT(R135:S135)&amp;" "&amp;_xlfn.CONCAT(T135:U135)</f>
        <v xml:space="preserve"> </v>
      </c>
      <c r="Y135" t="str">
        <f t="shared" si="13"/>
        <v/>
      </c>
    </row>
    <row r="136" spans="1:25" x14ac:dyDescent="0.4">
      <c r="A136" s="16"/>
      <c r="B136" t="str">
        <f t="shared" ref="B136:B197" si="17">IF(C136="","","PRC_GMAP")</f>
        <v/>
      </c>
      <c r="C136" t="str">
        <f>IF(UserInput!B135=0,"",UserInput!B135)</f>
        <v/>
      </c>
      <c r="D136" t="str">
        <f t="shared" ref="D136:D197" si="18">IF(C136="","",1)</f>
        <v/>
      </c>
      <c r="E136" t="str">
        <f>IF(UserInput!B135=0,"",UserInput!B135)</f>
        <v/>
      </c>
      <c r="G136" s="16"/>
      <c r="H136" s="15" t="str">
        <f>IF(UserInput!D135="","",IF(UserInput!D135=UserInput!D134,"","SET "&amp;UserInput!D135&amp;"TIMESreport '"&amp;UserInput!D135&amp;" TIMESreport'/ "))</f>
        <v/>
      </c>
      <c r="I136" s="15" t="str">
        <f>IF(UserInput!B135=0,"",UserInput!B135)</f>
        <v/>
      </c>
      <c r="J136" s="15" t="str">
        <f>IF(UserInput!C135=0,"","'"&amp;UserInput!C135&amp;"'")</f>
        <v/>
      </c>
      <c r="K136" s="15" t="str">
        <f>IF(I136="","",IF(UserInput!D135=UserInput!D136,"","/ ;"))</f>
        <v/>
      </c>
      <c r="M136" t="str">
        <f t="shared" si="14"/>
        <v/>
      </c>
      <c r="N136" s="13" t="str">
        <f t="shared" ref="N136:N197" si="19">_xlfn.CONCAT(H136:I136)&amp;" "&amp;_xlfn.CONCAT(J136:K136)</f>
        <v xml:space="preserve"> </v>
      </c>
      <c r="O136" t="str">
        <f t="shared" ref="O136:O197" si="20">IF(M136="","","IMPNRGZ")</f>
        <v/>
      </c>
      <c r="Q136" s="16"/>
      <c r="R136" s="15" t="str">
        <f>IF(UserInput!H135=0,"",IF(UserInput!H135=UserInput!H134,"","SET "&amp;UserInput!H135&amp;"TIMESreport '"&amp;UserInput!H135&amp;" TIMESreport'/ "))</f>
        <v/>
      </c>
      <c r="S136" s="15" t="str">
        <f>IF(UserInput!F135=0,"",UserInput!F135)</f>
        <v/>
      </c>
      <c r="T136" s="15" t="str">
        <f>IF(UserInput!G135=0,"","'"&amp;UserInput!G135&amp;"'")</f>
        <v/>
      </c>
      <c r="U136" s="15" t="str">
        <f>IF(S136="","",IF(UserInput!H135=UserInput!H136,"","/ ;"))</f>
        <v/>
      </c>
      <c r="W136" t="str">
        <f t="shared" si="15"/>
        <v/>
      </c>
      <c r="X136" t="str">
        <f t="shared" si="16"/>
        <v xml:space="preserve"> </v>
      </c>
      <c r="Y136" t="str">
        <f t="shared" ref="Y136:Y197" si="21">IF(W136="","","IMPNRGZ")</f>
        <v/>
      </c>
    </row>
    <row r="137" spans="1:25" x14ac:dyDescent="0.4">
      <c r="A137" s="16"/>
      <c r="B137" t="str">
        <f t="shared" si="17"/>
        <v/>
      </c>
      <c r="C137" t="str">
        <f>IF(UserInput!B136=0,"",UserInput!B136)</f>
        <v/>
      </c>
      <c r="D137" t="str">
        <f t="shared" si="18"/>
        <v/>
      </c>
      <c r="E137" t="str">
        <f>IF(UserInput!B136=0,"",UserInput!B136)</f>
        <v/>
      </c>
      <c r="G137" s="16"/>
      <c r="H137" s="15" t="str">
        <f>IF(UserInput!D136="","",IF(UserInput!D136=UserInput!D135,"","SET "&amp;UserInput!D136&amp;"TIMESreport '"&amp;UserInput!D136&amp;" TIMESreport'/ "))</f>
        <v/>
      </c>
      <c r="I137" s="15" t="str">
        <f>IF(UserInput!B136=0,"",UserInput!B136)</f>
        <v/>
      </c>
      <c r="J137" s="15" t="str">
        <f>IF(UserInput!C136=0,"","'"&amp;UserInput!C136&amp;"'")</f>
        <v/>
      </c>
      <c r="K137" s="15" t="str">
        <f>IF(I137="","",IF(UserInput!D136=UserInput!D137,"","/ ;"))</f>
        <v/>
      </c>
      <c r="M137" t="str">
        <f t="shared" ref="M137:M197" si="22">IF(I137="","",1+M136)</f>
        <v/>
      </c>
      <c r="N137" s="13" t="str">
        <f t="shared" si="19"/>
        <v xml:space="preserve"> </v>
      </c>
      <c r="O137" t="str">
        <f t="shared" si="20"/>
        <v/>
      </c>
      <c r="Q137" s="16"/>
      <c r="R137" s="15" t="str">
        <f>IF(UserInput!H136=0,"",IF(UserInput!H136=UserInput!H135,"","SET "&amp;UserInput!H136&amp;"TIMESreport '"&amp;UserInput!H136&amp;" TIMESreport'/ "))</f>
        <v/>
      </c>
      <c r="S137" s="15" t="str">
        <f>IF(UserInput!F136=0,"",UserInput!F136)</f>
        <v/>
      </c>
      <c r="T137" s="15" t="str">
        <f>IF(UserInput!G136=0,"","'"&amp;UserInput!G136&amp;"'")</f>
        <v/>
      </c>
      <c r="U137" s="15" t="str">
        <f>IF(S137="","",IF(UserInput!H136=UserInput!H137,"","/ ;"))</f>
        <v/>
      </c>
      <c r="W137" t="str">
        <f t="shared" ref="W137:W197" si="23">IF(S137="","",W136+1)</f>
        <v/>
      </c>
      <c r="X137" t="str">
        <f t="shared" si="16"/>
        <v xml:space="preserve"> </v>
      </c>
      <c r="Y137" t="str">
        <f t="shared" si="21"/>
        <v/>
      </c>
    </row>
    <row r="138" spans="1:25" x14ac:dyDescent="0.4">
      <c r="A138" s="16"/>
      <c r="B138" t="str">
        <f t="shared" si="17"/>
        <v/>
      </c>
      <c r="C138" t="str">
        <f>IF(UserInput!B137=0,"",UserInput!B137)</f>
        <v/>
      </c>
      <c r="D138" t="str">
        <f t="shared" si="18"/>
        <v/>
      </c>
      <c r="E138" t="str">
        <f>IF(UserInput!B137=0,"",UserInput!B137)</f>
        <v/>
      </c>
      <c r="G138" s="16"/>
      <c r="H138" s="15" t="str">
        <f>IF(UserInput!D137="","",IF(UserInput!D137=UserInput!D136,"","SET "&amp;UserInput!D137&amp;"TIMESreport '"&amp;UserInput!D137&amp;" TIMESreport'/ "))</f>
        <v/>
      </c>
      <c r="I138" s="15" t="str">
        <f>IF(UserInput!B137=0,"",UserInput!B137)</f>
        <v/>
      </c>
      <c r="J138" s="15" t="str">
        <f>IF(UserInput!C137=0,"","'"&amp;UserInput!C137&amp;"'")</f>
        <v/>
      </c>
      <c r="K138" s="15" t="str">
        <f>IF(I138="","",IF(UserInput!D137=UserInput!D138,"","/ ;"))</f>
        <v/>
      </c>
      <c r="M138" t="str">
        <f t="shared" si="22"/>
        <v/>
      </c>
      <c r="N138" s="13" t="str">
        <f t="shared" si="19"/>
        <v xml:space="preserve"> </v>
      </c>
      <c r="O138" t="str">
        <f t="shared" si="20"/>
        <v/>
      </c>
      <c r="Q138" s="16"/>
      <c r="R138" s="15" t="str">
        <f>IF(UserInput!H137=0,"",IF(UserInput!H137=UserInput!H136,"","SET "&amp;UserInput!H137&amp;"TIMESreport '"&amp;UserInput!H137&amp;" TIMESreport'/ "))</f>
        <v/>
      </c>
      <c r="S138" s="15" t="str">
        <f>IF(UserInput!F137=0,"",UserInput!F137)</f>
        <v/>
      </c>
      <c r="T138" s="15" t="str">
        <f>IF(UserInput!G137=0,"","'"&amp;UserInput!G137&amp;"'")</f>
        <v/>
      </c>
      <c r="U138" s="15" t="str">
        <f>IF(S138="","",IF(UserInput!H137=UserInput!H138,"","/ ;"))</f>
        <v/>
      </c>
      <c r="W138" t="str">
        <f t="shared" si="23"/>
        <v/>
      </c>
      <c r="X138" t="str">
        <f t="shared" si="16"/>
        <v xml:space="preserve"> </v>
      </c>
      <c r="Y138" t="str">
        <f t="shared" si="21"/>
        <v/>
      </c>
    </row>
    <row r="139" spans="1:25" x14ac:dyDescent="0.4">
      <c r="A139" s="16"/>
      <c r="B139" t="str">
        <f t="shared" si="17"/>
        <v/>
      </c>
      <c r="C139" t="str">
        <f>IF(UserInput!B138=0,"",UserInput!B138)</f>
        <v/>
      </c>
      <c r="D139" t="str">
        <f t="shared" si="18"/>
        <v/>
      </c>
      <c r="E139" t="str">
        <f>IF(UserInput!B138=0,"",UserInput!B138)</f>
        <v/>
      </c>
      <c r="G139" s="16"/>
      <c r="H139" s="15" t="str">
        <f>IF(UserInput!D138="","",IF(UserInput!D138=UserInput!D137,"","SET "&amp;UserInput!D138&amp;"TIMESreport '"&amp;UserInput!D138&amp;" TIMESreport'/ "))</f>
        <v/>
      </c>
      <c r="I139" s="15" t="str">
        <f>IF(UserInput!B138=0,"",UserInput!B138)</f>
        <v/>
      </c>
      <c r="J139" s="15" t="str">
        <f>IF(UserInput!C138=0,"","'"&amp;UserInput!C138&amp;"'")</f>
        <v/>
      </c>
      <c r="K139" s="15" t="str">
        <f>IF(I139="","",IF(UserInput!D138=UserInput!D139,"","/ ;"))</f>
        <v/>
      </c>
      <c r="M139" t="str">
        <f t="shared" si="22"/>
        <v/>
      </c>
      <c r="N139" s="13" t="str">
        <f t="shared" si="19"/>
        <v xml:space="preserve"> </v>
      </c>
      <c r="O139" t="str">
        <f t="shared" si="20"/>
        <v/>
      </c>
      <c r="Q139" s="16"/>
      <c r="R139" s="15" t="str">
        <f>IF(UserInput!H138=0,"",IF(UserInput!H138=UserInput!H137,"","SET "&amp;UserInput!H138&amp;"TIMESreport '"&amp;UserInput!H138&amp;" TIMESreport'/ "))</f>
        <v/>
      </c>
      <c r="S139" s="15" t="str">
        <f>IF(UserInput!F138=0,"",UserInput!F138)</f>
        <v/>
      </c>
      <c r="T139" s="15" t="str">
        <f>IF(UserInput!G138=0,"","'"&amp;UserInput!G138&amp;"'")</f>
        <v/>
      </c>
      <c r="U139" s="15" t="str">
        <f>IF(S139="","",IF(UserInput!H138=UserInput!H139,"","/ ;"))</f>
        <v/>
      </c>
      <c r="W139" t="str">
        <f t="shared" si="23"/>
        <v/>
      </c>
      <c r="X139" t="str">
        <f t="shared" si="16"/>
        <v xml:space="preserve"> </v>
      </c>
      <c r="Y139" t="str">
        <f t="shared" si="21"/>
        <v/>
      </c>
    </row>
    <row r="140" spans="1:25" x14ac:dyDescent="0.4">
      <c r="A140" s="16"/>
      <c r="B140" t="str">
        <f t="shared" si="17"/>
        <v/>
      </c>
      <c r="C140" t="str">
        <f>IF(UserInput!B139=0,"",UserInput!B139)</f>
        <v/>
      </c>
      <c r="D140" t="str">
        <f t="shared" si="18"/>
        <v/>
      </c>
      <c r="E140" t="str">
        <f>IF(UserInput!B139=0,"",UserInput!B139)</f>
        <v/>
      </c>
      <c r="G140" s="16"/>
      <c r="H140" s="15" t="str">
        <f>IF(UserInput!D139="","",IF(UserInput!D139=UserInput!D138,"","SET "&amp;UserInput!D139&amp;"TIMESreport '"&amp;UserInput!D139&amp;" TIMESreport'/ "))</f>
        <v/>
      </c>
      <c r="I140" s="15" t="str">
        <f>IF(UserInput!B139=0,"",UserInput!B139)</f>
        <v/>
      </c>
      <c r="J140" s="15" t="str">
        <f>IF(UserInput!C139=0,"","'"&amp;UserInput!C139&amp;"'")</f>
        <v/>
      </c>
      <c r="K140" s="15" t="str">
        <f>IF(I140="","",IF(UserInput!D139=UserInput!D140,"","/ ;"))</f>
        <v/>
      </c>
      <c r="M140" t="str">
        <f t="shared" si="22"/>
        <v/>
      </c>
      <c r="N140" s="13" t="str">
        <f t="shared" si="19"/>
        <v xml:space="preserve"> </v>
      </c>
      <c r="O140" t="str">
        <f t="shared" si="20"/>
        <v/>
      </c>
      <c r="Q140" s="16"/>
      <c r="R140" s="15" t="str">
        <f>IF(UserInput!H139=0,"",IF(UserInput!H139=UserInput!H138,"","SET "&amp;UserInput!H139&amp;"TIMESreport '"&amp;UserInput!H139&amp;" TIMESreport'/ "))</f>
        <v/>
      </c>
      <c r="S140" s="15" t="str">
        <f>IF(UserInput!F139=0,"",UserInput!F139)</f>
        <v/>
      </c>
      <c r="T140" s="15" t="str">
        <f>IF(UserInput!G139=0,"","'"&amp;UserInput!G139&amp;"'")</f>
        <v/>
      </c>
      <c r="U140" s="15" t="str">
        <f>IF(S140="","",IF(UserInput!H139=UserInput!H140,"","/ ;"))</f>
        <v/>
      </c>
      <c r="W140" t="str">
        <f t="shared" si="23"/>
        <v/>
      </c>
      <c r="X140" t="str">
        <f t="shared" si="16"/>
        <v xml:space="preserve"> </v>
      </c>
      <c r="Y140" t="str">
        <f t="shared" si="21"/>
        <v/>
      </c>
    </row>
    <row r="141" spans="1:25" x14ac:dyDescent="0.4">
      <c r="A141" s="16"/>
      <c r="B141" t="str">
        <f t="shared" si="17"/>
        <v/>
      </c>
      <c r="C141" t="str">
        <f>IF(UserInput!B140=0,"",UserInput!B140)</f>
        <v/>
      </c>
      <c r="D141" t="str">
        <f t="shared" si="18"/>
        <v/>
      </c>
      <c r="E141" t="str">
        <f>IF(UserInput!B140=0,"",UserInput!B140)</f>
        <v/>
      </c>
      <c r="G141" s="16"/>
      <c r="H141" s="15" t="str">
        <f>IF(UserInput!D140="","",IF(UserInput!D140=UserInput!D139,"","SET "&amp;UserInput!D140&amp;"TIMESreport '"&amp;UserInput!D140&amp;" TIMESreport'/ "))</f>
        <v/>
      </c>
      <c r="I141" s="15" t="str">
        <f>IF(UserInput!B140=0,"",UserInput!B140)</f>
        <v/>
      </c>
      <c r="J141" s="15" t="str">
        <f>IF(UserInput!C140=0,"","'"&amp;UserInput!C140&amp;"'")</f>
        <v/>
      </c>
      <c r="K141" s="15" t="str">
        <f>IF(I141="","",IF(UserInput!D140=UserInput!D141,"","/ ;"))</f>
        <v/>
      </c>
      <c r="M141" t="str">
        <f t="shared" si="22"/>
        <v/>
      </c>
      <c r="N141" s="13" t="str">
        <f t="shared" si="19"/>
        <v xml:space="preserve"> </v>
      </c>
      <c r="O141" t="str">
        <f t="shared" si="20"/>
        <v/>
      </c>
      <c r="Q141" s="16"/>
      <c r="R141" s="15" t="str">
        <f>IF(UserInput!H140=0,"",IF(UserInput!H140=UserInput!H139,"","SET "&amp;UserInput!H140&amp;"TIMESreport '"&amp;UserInput!H140&amp;" TIMESreport'/ "))</f>
        <v/>
      </c>
      <c r="S141" s="15" t="str">
        <f>IF(UserInput!F140=0,"",UserInput!F140)</f>
        <v/>
      </c>
      <c r="T141" s="15" t="str">
        <f>IF(UserInput!G140=0,"","'"&amp;UserInput!G140&amp;"'")</f>
        <v/>
      </c>
      <c r="U141" s="15" t="str">
        <f>IF(S141="","",IF(UserInput!H140=UserInput!H141,"","/ ;"))</f>
        <v/>
      </c>
      <c r="W141" t="str">
        <f t="shared" si="23"/>
        <v/>
      </c>
      <c r="X141" t="str">
        <f t="shared" si="16"/>
        <v xml:space="preserve"> </v>
      </c>
      <c r="Y141" t="str">
        <f t="shared" si="21"/>
        <v/>
      </c>
    </row>
    <row r="142" spans="1:25" x14ac:dyDescent="0.4">
      <c r="A142" s="16"/>
      <c r="B142" t="str">
        <f t="shared" si="17"/>
        <v/>
      </c>
      <c r="C142" t="str">
        <f>IF(UserInput!B141=0,"",UserInput!B141)</f>
        <v/>
      </c>
      <c r="D142" t="str">
        <f t="shared" si="18"/>
        <v/>
      </c>
      <c r="E142" t="str">
        <f>IF(UserInput!B141=0,"",UserInput!B141)</f>
        <v/>
      </c>
      <c r="G142" s="16"/>
      <c r="H142" s="15" t="str">
        <f>IF(UserInput!D141="","",IF(UserInput!D141=UserInput!D140,"","SET "&amp;UserInput!D141&amp;"TIMESreport '"&amp;UserInput!D141&amp;" TIMESreport'/ "))</f>
        <v/>
      </c>
      <c r="I142" s="15" t="str">
        <f>IF(UserInput!B141=0,"",UserInput!B141)</f>
        <v/>
      </c>
      <c r="J142" s="15" t="str">
        <f>IF(UserInput!C141=0,"","'"&amp;UserInput!C141&amp;"'")</f>
        <v/>
      </c>
      <c r="K142" s="15" t="str">
        <f>IF(I142="","",IF(UserInput!D141=UserInput!D142,"","/ ;"))</f>
        <v/>
      </c>
      <c r="M142" t="str">
        <f t="shared" si="22"/>
        <v/>
      </c>
      <c r="N142" s="13" t="str">
        <f t="shared" si="19"/>
        <v xml:space="preserve"> </v>
      </c>
      <c r="O142" t="str">
        <f t="shared" si="20"/>
        <v/>
      </c>
      <c r="Q142" s="16"/>
      <c r="R142" s="15" t="str">
        <f>IF(UserInput!H141=0,"",IF(UserInput!H141=UserInput!H140,"","SET "&amp;UserInput!H141&amp;"TIMESreport '"&amp;UserInput!H141&amp;" TIMESreport'/ "))</f>
        <v/>
      </c>
      <c r="S142" s="15" t="str">
        <f>IF(UserInput!F141=0,"",UserInput!F141)</f>
        <v/>
      </c>
      <c r="T142" s="15" t="str">
        <f>IF(UserInput!G141=0,"","'"&amp;UserInput!G141&amp;"'")</f>
        <v/>
      </c>
      <c r="U142" s="15" t="str">
        <f>IF(S142="","",IF(UserInput!H141=UserInput!H142,"","/ ;"))</f>
        <v/>
      </c>
      <c r="W142" t="str">
        <f t="shared" si="23"/>
        <v/>
      </c>
      <c r="X142" t="str">
        <f t="shared" si="16"/>
        <v xml:space="preserve"> </v>
      </c>
      <c r="Y142" t="str">
        <f t="shared" si="21"/>
        <v/>
      </c>
    </row>
    <row r="143" spans="1:25" x14ac:dyDescent="0.4">
      <c r="A143" s="16"/>
      <c r="B143" t="str">
        <f t="shared" si="17"/>
        <v/>
      </c>
      <c r="C143" t="str">
        <f>IF(UserInput!B142=0,"",UserInput!B142)</f>
        <v/>
      </c>
      <c r="D143" t="str">
        <f t="shared" si="18"/>
        <v/>
      </c>
      <c r="E143" t="str">
        <f>IF(UserInput!B142=0,"",UserInput!B142)</f>
        <v/>
      </c>
      <c r="G143" s="16"/>
      <c r="H143" s="15" t="str">
        <f>IF(UserInput!D142="","",IF(UserInput!D142=UserInput!D141,"","SET "&amp;UserInput!D142&amp;"TIMESreport '"&amp;UserInput!D142&amp;" TIMESreport'/ "))</f>
        <v/>
      </c>
      <c r="I143" s="15" t="str">
        <f>IF(UserInput!B142=0,"",UserInput!B142)</f>
        <v/>
      </c>
      <c r="J143" s="15" t="str">
        <f>IF(UserInput!C142=0,"","'"&amp;UserInput!C142&amp;"'")</f>
        <v/>
      </c>
      <c r="K143" s="15" t="str">
        <f>IF(I143="","",IF(UserInput!D142=UserInput!D143,"","/ ;"))</f>
        <v/>
      </c>
      <c r="M143" t="str">
        <f t="shared" si="22"/>
        <v/>
      </c>
      <c r="N143" s="13" t="str">
        <f t="shared" si="19"/>
        <v xml:space="preserve"> </v>
      </c>
      <c r="O143" t="str">
        <f t="shared" si="20"/>
        <v/>
      </c>
      <c r="Q143" s="16"/>
      <c r="R143" s="15" t="str">
        <f>IF(UserInput!H142=0,"",IF(UserInput!H142=UserInput!H141,"","SET "&amp;UserInput!H142&amp;"TIMESreport '"&amp;UserInput!H142&amp;" TIMESreport'/ "))</f>
        <v/>
      </c>
      <c r="S143" s="15" t="str">
        <f>IF(UserInput!F142=0,"",UserInput!F142)</f>
        <v/>
      </c>
      <c r="T143" s="15" t="str">
        <f>IF(UserInput!G142=0,"","'"&amp;UserInput!G142&amp;"'")</f>
        <v/>
      </c>
      <c r="U143" s="15" t="str">
        <f>IF(S143="","",IF(UserInput!H142=UserInput!H143,"","/ ;"))</f>
        <v/>
      </c>
      <c r="W143" t="str">
        <f t="shared" si="23"/>
        <v/>
      </c>
      <c r="X143" t="str">
        <f t="shared" si="16"/>
        <v xml:space="preserve"> </v>
      </c>
      <c r="Y143" t="str">
        <f t="shared" si="21"/>
        <v/>
      </c>
    </row>
    <row r="144" spans="1:25" x14ac:dyDescent="0.4">
      <c r="A144" s="16"/>
      <c r="B144" t="str">
        <f t="shared" si="17"/>
        <v/>
      </c>
      <c r="C144" t="str">
        <f>IF(UserInput!B143=0,"",UserInput!B143)</f>
        <v/>
      </c>
      <c r="D144" t="str">
        <f t="shared" si="18"/>
        <v/>
      </c>
      <c r="E144" t="str">
        <f>IF(UserInput!B143=0,"",UserInput!B143)</f>
        <v/>
      </c>
      <c r="G144" s="16"/>
      <c r="H144" s="15" t="str">
        <f>IF(UserInput!D143="","",IF(UserInput!D143=UserInput!D142,"","SET "&amp;UserInput!D143&amp;"TIMESreport '"&amp;UserInput!D143&amp;" TIMESreport'/ "))</f>
        <v/>
      </c>
      <c r="I144" s="15" t="str">
        <f>IF(UserInput!B143=0,"",UserInput!B143)</f>
        <v/>
      </c>
      <c r="J144" s="15" t="str">
        <f>IF(UserInput!C143=0,"","'"&amp;UserInput!C143&amp;"'")</f>
        <v/>
      </c>
      <c r="K144" s="15" t="str">
        <f>IF(I144="","",IF(UserInput!D143=UserInput!D144,"","/ ;"))</f>
        <v/>
      </c>
      <c r="M144" t="str">
        <f t="shared" si="22"/>
        <v/>
      </c>
      <c r="N144" s="13" t="str">
        <f t="shared" si="19"/>
        <v xml:space="preserve"> </v>
      </c>
      <c r="O144" t="str">
        <f t="shared" si="20"/>
        <v/>
      </c>
      <c r="Q144" s="16"/>
      <c r="R144" s="15" t="str">
        <f>IF(UserInput!H143=0,"",IF(UserInput!H143=UserInput!H142,"","SET "&amp;UserInput!H143&amp;"TIMESreport '"&amp;UserInput!H143&amp;" TIMESreport'/ "))</f>
        <v/>
      </c>
      <c r="S144" s="15" t="str">
        <f>IF(UserInput!F143=0,"",UserInput!F143)</f>
        <v/>
      </c>
      <c r="T144" s="15" t="str">
        <f>IF(UserInput!G143=0,"","'"&amp;UserInput!G143&amp;"'")</f>
        <v/>
      </c>
      <c r="U144" s="15" t="str">
        <f>IF(S144="","",IF(UserInput!H143=UserInput!H144,"","/ ;"))</f>
        <v/>
      </c>
      <c r="W144" t="str">
        <f t="shared" si="23"/>
        <v/>
      </c>
      <c r="X144" t="str">
        <f t="shared" si="16"/>
        <v xml:space="preserve"> </v>
      </c>
      <c r="Y144" t="str">
        <f t="shared" si="21"/>
        <v/>
      </c>
    </row>
    <row r="145" spans="1:25" x14ac:dyDescent="0.4">
      <c r="A145" s="16"/>
      <c r="B145" t="str">
        <f t="shared" si="17"/>
        <v/>
      </c>
      <c r="C145" t="str">
        <f>IF(UserInput!B144=0,"",UserInput!B144)</f>
        <v/>
      </c>
      <c r="D145" t="str">
        <f t="shared" si="18"/>
        <v/>
      </c>
      <c r="E145" t="str">
        <f>IF(UserInput!B144=0,"",UserInput!B144)</f>
        <v/>
      </c>
      <c r="G145" s="16"/>
      <c r="H145" s="15" t="str">
        <f>IF(UserInput!D144="","",IF(UserInput!D144=UserInput!D143,"","SET "&amp;UserInput!D144&amp;"TIMESreport '"&amp;UserInput!D144&amp;" TIMESreport'/ "))</f>
        <v/>
      </c>
      <c r="I145" s="15" t="str">
        <f>IF(UserInput!B144=0,"",UserInput!B144)</f>
        <v/>
      </c>
      <c r="J145" s="15" t="str">
        <f>IF(UserInput!C144=0,"","'"&amp;UserInput!C144&amp;"'")</f>
        <v/>
      </c>
      <c r="K145" s="15" t="str">
        <f>IF(I145="","",IF(UserInput!D144=UserInput!D145,"","/ ;"))</f>
        <v/>
      </c>
      <c r="M145" t="str">
        <f t="shared" si="22"/>
        <v/>
      </c>
      <c r="N145" s="13" t="str">
        <f t="shared" si="19"/>
        <v xml:space="preserve"> </v>
      </c>
      <c r="O145" t="str">
        <f t="shared" si="20"/>
        <v/>
      </c>
      <c r="Q145" s="16"/>
      <c r="R145" s="15" t="str">
        <f>IF(UserInput!H144=0,"",IF(UserInput!H144=UserInput!H143,"","SET "&amp;UserInput!H144&amp;"TIMESreport '"&amp;UserInput!H144&amp;" TIMESreport'/ "))</f>
        <v/>
      </c>
      <c r="S145" s="15" t="str">
        <f>IF(UserInput!F144=0,"",UserInput!F144)</f>
        <v/>
      </c>
      <c r="T145" s="15" t="str">
        <f>IF(UserInput!G144=0,"","'"&amp;UserInput!G144&amp;"'")</f>
        <v/>
      </c>
      <c r="U145" s="15" t="str">
        <f>IF(S145="","",IF(UserInput!H144=UserInput!H145,"","/ ;"))</f>
        <v/>
      </c>
      <c r="W145" t="str">
        <f t="shared" si="23"/>
        <v/>
      </c>
      <c r="X145" t="str">
        <f t="shared" si="16"/>
        <v xml:space="preserve"> </v>
      </c>
      <c r="Y145" t="str">
        <f t="shared" si="21"/>
        <v/>
      </c>
    </row>
    <row r="146" spans="1:25" x14ac:dyDescent="0.4">
      <c r="A146" s="16"/>
      <c r="B146" t="str">
        <f t="shared" si="17"/>
        <v/>
      </c>
      <c r="C146" t="str">
        <f>IF(UserInput!B145=0,"",UserInput!B145)</f>
        <v/>
      </c>
      <c r="D146" t="str">
        <f t="shared" si="18"/>
        <v/>
      </c>
      <c r="E146" t="str">
        <f>IF(UserInput!B145=0,"",UserInput!B145)</f>
        <v/>
      </c>
      <c r="G146" s="16"/>
      <c r="H146" s="15" t="str">
        <f>IF(UserInput!D145="","",IF(UserInput!D145=UserInput!D144,"","SET "&amp;UserInput!D145&amp;"TIMESreport '"&amp;UserInput!D145&amp;" TIMESreport'/ "))</f>
        <v/>
      </c>
      <c r="I146" s="15" t="str">
        <f>IF(UserInput!B145=0,"",UserInput!B145)</f>
        <v/>
      </c>
      <c r="J146" s="15" t="str">
        <f>IF(UserInput!C145=0,"","'"&amp;UserInput!C145&amp;"'")</f>
        <v/>
      </c>
      <c r="K146" s="15" t="str">
        <f>IF(I146="","",IF(UserInput!D145=UserInput!D146,"","/ ;"))</f>
        <v/>
      </c>
      <c r="M146" t="str">
        <f t="shared" si="22"/>
        <v/>
      </c>
      <c r="N146" s="13" t="str">
        <f t="shared" si="19"/>
        <v xml:space="preserve"> </v>
      </c>
      <c r="O146" t="str">
        <f t="shared" si="20"/>
        <v/>
      </c>
      <c r="Q146" s="16"/>
      <c r="R146" s="15" t="str">
        <f>IF(UserInput!H145=0,"",IF(UserInput!H145=UserInput!H144,"","SET "&amp;UserInput!H145&amp;"TIMESreport '"&amp;UserInput!H145&amp;" TIMESreport'/ "))</f>
        <v/>
      </c>
      <c r="S146" s="15" t="str">
        <f>IF(UserInput!F145=0,"",UserInput!F145)</f>
        <v/>
      </c>
      <c r="T146" s="15" t="str">
        <f>IF(UserInput!G145=0,"","'"&amp;UserInput!G145&amp;"'")</f>
        <v/>
      </c>
      <c r="U146" s="15" t="str">
        <f>IF(S146="","",IF(UserInput!H145=UserInput!H146,"","/ ;"))</f>
        <v/>
      </c>
      <c r="W146" t="str">
        <f t="shared" si="23"/>
        <v/>
      </c>
      <c r="X146" t="str">
        <f t="shared" si="16"/>
        <v xml:space="preserve"> </v>
      </c>
      <c r="Y146" t="str">
        <f t="shared" si="21"/>
        <v/>
      </c>
    </row>
    <row r="147" spans="1:25" x14ac:dyDescent="0.4">
      <c r="A147" s="16"/>
      <c r="B147" t="str">
        <f t="shared" si="17"/>
        <v/>
      </c>
      <c r="C147" t="str">
        <f>IF(UserInput!B146=0,"",UserInput!B146)</f>
        <v/>
      </c>
      <c r="D147" t="str">
        <f t="shared" si="18"/>
        <v/>
      </c>
      <c r="E147" t="str">
        <f>IF(UserInput!B146=0,"",UserInput!B146)</f>
        <v/>
      </c>
      <c r="G147" s="16"/>
      <c r="H147" s="15" t="str">
        <f>IF(UserInput!D146="","",IF(UserInput!D146=UserInput!D145,"","SET "&amp;UserInput!D146&amp;"TIMESreport '"&amp;UserInput!D146&amp;" TIMESreport'/ "))</f>
        <v/>
      </c>
      <c r="I147" s="15" t="str">
        <f>IF(UserInput!B146=0,"",UserInput!B146)</f>
        <v/>
      </c>
      <c r="J147" s="15" t="str">
        <f>IF(UserInput!C146=0,"","'"&amp;UserInput!C146&amp;"'")</f>
        <v/>
      </c>
      <c r="K147" s="15" t="str">
        <f>IF(I147="","",IF(UserInput!D146=UserInput!D147,"","/ ;"))</f>
        <v/>
      </c>
      <c r="M147" t="str">
        <f t="shared" si="22"/>
        <v/>
      </c>
      <c r="N147" s="13" t="str">
        <f t="shared" si="19"/>
        <v xml:space="preserve"> </v>
      </c>
      <c r="O147" t="str">
        <f t="shared" si="20"/>
        <v/>
      </c>
      <c r="Q147" s="16"/>
      <c r="R147" s="15" t="str">
        <f>IF(UserInput!H146=0,"",IF(UserInput!H146=UserInput!H145,"","SET "&amp;UserInput!H146&amp;"TIMESreport '"&amp;UserInput!H146&amp;" TIMESreport'/ "))</f>
        <v/>
      </c>
      <c r="S147" s="15" t="str">
        <f>IF(UserInput!F146=0,"",UserInput!F146)</f>
        <v/>
      </c>
      <c r="T147" s="15" t="str">
        <f>IF(UserInput!G146=0,"","'"&amp;UserInput!G146&amp;"'")</f>
        <v/>
      </c>
      <c r="U147" s="15" t="str">
        <f>IF(S147="","",IF(UserInput!H146=UserInput!H147,"","/ ;"))</f>
        <v/>
      </c>
      <c r="W147" t="str">
        <f t="shared" si="23"/>
        <v/>
      </c>
      <c r="X147" t="str">
        <f t="shared" si="16"/>
        <v xml:space="preserve"> </v>
      </c>
      <c r="Y147" t="str">
        <f t="shared" si="21"/>
        <v/>
      </c>
    </row>
    <row r="148" spans="1:25" x14ac:dyDescent="0.4">
      <c r="A148" s="16"/>
      <c r="B148" t="str">
        <f t="shared" si="17"/>
        <v/>
      </c>
      <c r="C148" t="str">
        <f>IF(UserInput!B147=0,"",UserInput!B147)</f>
        <v/>
      </c>
      <c r="D148" t="str">
        <f t="shared" si="18"/>
        <v/>
      </c>
      <c r="E148" t="str">
        <f>IF(UserInput!B147=0,"",UserInput!B147)</f>
        <v/>
      </c>
      <c r="G148" s="16"/>
      <c r="H148" s="15" t="str">
        <f>IF(UserInput!D147="","",IF(UserInput!D147=UserInput!D146,"","SET "&amp;UserInput!D147&amp;"TIMESreport '"&amp;UserInput!D147&amp;" TIMESreport'/ "))</f>
        <v/>
      </c>
      <c r="I148" s="15" t="str">
        <f>IF(UserInput!B147=0,"",UserInput!B147)</f>
        <v/>
      </c>
      <c r="J148" s="15" t="str">
        <f>IF(UserInput!C147=0,"","'"&amp;UserInput!C147&amp;"'")</f>
        <v/>
      </c>
      <c r="K148" s="15" t="str">
        <f>IF(I148="","",IF(UserInput!D147=UserInput!D148,"","/ ;"))</f>
        <v/>
      </c>
      <c r="M148" t="str">
        <f t="shared" si="22"/>
        <v/>
      </c>
      <c r="N148" s="13" t="str">
        <f t="shared" si="19"/>
        <v xml:space="preserve"> </v>
      </c>
      <c r="O148" t="str">
        <f t="shared" si="20"/>
        <v/>
      </c>
      <c r="Q148" s="16"/>
      <c r="R148" s="15" t="str">
        <f>IF(UserInput!H147=0,"",IF(UserInput!H147=UserInput!H146,"","SET "&amp;UserInput!H147&amp;"TIMESreport '"&amp;UserInput!H147&amp;" TIMESreport'/ "))</f>
        <v/>
      </c>
      <c r="S148" s="15" t="str">
        <f>IF(UserInput!F147=0,"",UserInput!F147)</f>
        <v/>
      </c>
      <c r="T148" s="15" t="str">
        <f>IF(UserInput!G147=0,"","'"&amp;UserInput!G147&amp;"'")</f>
        <v/>
      </c>
      <c r="U148" s="15" t="str">
        <f>IF(S148="","",IF(UserInput!H147=UserInput!H148,"","/ ;"))</f>
        <v/>
      </c>
      <c r="W148" t="str">
        <f t="shared" si="23"/>
        <v/>
      </c>
      <c r="X148" t="str">
        <f t="shared" si="16"/>
        <v xml:space="preserve"> </v>
      </c>
      <c r="Y148" t="str">
        <f t="shared" si="21"/>
        <v/>
      </c>
    </row>
    <row r="149" spans="1:25" x14ac:dyDescent="0.4">
      <c r="A149" s="16"/>
      <c r="B149" t="str">
        <f t="shared" si="17"/>
        <v/>
      </c>
      <c r="C149" t="str">
        <f>IF(UserInput!B148=0,"",UserInput!B148)</f>
        <v/>
      </c>
      <c r="D149" t="str">
        <f t="shared" si="18"/>
        <v/>
      </c>
      <c r="E149" t="str">
        <f>IF(UserInput!B148=0,"",UserInput!B148)</f>
        <v/>
      </c>
      <c r="G149" s="16"/>
      <c r="H149" s="15" t="str">
        <f>IF(UserInput!D148="","",IF(UserInput!D148=UserInput!D147,"","SET "&amp;UserInput!D148&amp;"TIMESreport '"&amp;UserInput!D148&amp;" TIMESreport'/ "))</f>
        <v/>
      </c>
      <c r="I149" s="15" t="str">
        <f>IF(UserInput!B148=0,"",UserInput!B148)</f>
        <v/>
      </c>
      <c r="J149" s="15" t="str">
        <f>IF(UserInput!C148=0,"","'"&amp;UserInput!C148&amp;"'")</f>
        <v/>
      </c>
      <c r="K149" s="15" t="str">
        <f>IF(I149="","",IF(UserInput!D148=UserInput!D149,"","/ ;"))</f>
        <v/>
      </c>
      <c r="M149" t="str">
        <f t="shared" si="22"/>
        <v/>
      </c>
      <c r="N149" s="13" t="str">
        <f t="shared" si="19"/>
        <v xml:space="preserve"> </v>
      </c>
      <c r="O149" t="str">
        <f t="shared" si="20"/>
        <v/>
      </c>
      <c r="Q149" s="16"/>
      <c r="R149" s="15" t="str">
        <f>IF(UserInput!H148=0,"",IF(UserInput!H148=UserInput!H147,"","SET "&amp;UserInput!H148&amp;"TIMESreport '"&amp;UserInput!H148&amp;" TIMESreport'/ "))</f>
        <v/>
      </c>
      <c r="S149" s="15" t="str">
        <f>IF(UserInput!F148=0,"",UserInput!F148)</f>
        <v/>
      </c>
      <c r="T149" s="15" t="str">
        <f>IF(UserInput!G148=0,"","'"&amp;UserInput!G148&amp;"'")</f>
        <v/>
      </c>
      <c r="U149" s="15" t="str">
        <f>IF(S149="","",IF(UserInput!H148=UserInput!H149,"","/ ;"))</f>
        <v/>
      </c>
      <c r="W149" t="str">
        <f t="shared" si="23"/>
        <v/>
      </c>
      <c r="X149" t="str">
        <f t="shared" si="16"/>
        <v xml:space="preserve"> </v>
      </c>
      <c r="Y149" t="str">
        <f t="shared" si="21"/>
        <v/>
      </c>
    </row>
    <row r="150" spans="1:25" x14ac:dyDescent="0.4">
      <c r="A150" s="16"/>
      <c r="B150" t="str">
        <f t="shared" si="17"/>
        <v/>
      </c>
      <c r="C150" t="str">
        <f>IF(UserInput!B149=0,"",UserInput!B149)</f>
        <v/>
      </c>
      <c r="D150" t="str">
        <f t="shared" si="18"/>
        <v/>
      </c>
      <c r="E150" t="str">
        <f>IF(UserInput!B149=0,"",UserInput!B149)</f>
        <v/>
      </c>
      <c r="G150" s="16"/>
      <c r="H150" s="15" t="str">
        <f>IF(UserInput!D149="","",IF(UserInput!D149=UserInput!D148,"","SET "&amp;UserInput!D149&amp;"TIMESreport '"&amp;UserInput!D149&amp;" TIMESreport'/ "))</f>
        <v/>
      </c>
      <c r="I150" s="15" t="str">
        <f>IF(UserInput!B149=0,"",UserInput!B149)</f>
        <v/>
      </c>
      <c r="J150" s="15" t="str">
        <f>IF(UserInput!C149=0,"","'"&amp;UserInput!C149&amp;"'")</f>
        <v/>
      </c>
      <c r="K150" s="15" t="str">
        <f>IF(I150="","",IF(UserInput!D149=UserInput!D150,"","/ ;"))</f>
        <v/>
      </c>
      <c r="M150" t="str">
        <f t="shared" si="22"/>
        <v/>
      </c>
      <c r="N150" s="13" t="str">
        <f t="shared" si="19"/>
        <v xml:space="preserve"> </v>
      </c>
      <c r="O150" t="str">
        <f t="shared" si="20"/>
        <v/>
      </c>
      <c r="Q150" s="16"/>
      <c r="R150" s="15" t="str">
        <f>IF(UserInput!H149=0,"",IF(UserInput!H149=UserInput!H148,"","SET "&amp;UserInput!H149&amp;"TIMESreport '"&amp;UserInput!H149&amp;" TIMESreport'/ "))</f>
        <v/>
      </c>
      <c r="S150" s="15" t="str">
        <f>IF(UserInput!F149=0,"",UserInput!F149)</f>
        <v/>
      </c>
      <c r="T150" s="15" t="str">
        <f>IF(UserInput!G149=0,"","'"&amp;UserInput!G149&amp;"'")</f>
        <v/>
      </c>
      <c r="U150" s="15" t="str">
        <f>IF(S150="","",IF(UserInput!H149=UserInput!H150,"","/ ;"))</f>
        <v/>
      </c>
      <c r="W150" t="str">
        <f t="shared" si="23"/>
        <v/>
      </c>
      <c r="X150" t="str">
        <f t="shared" si="16"/>
        <v xml:space="preserve"> </v>
      </c>
      <c r="Y150" t="str">
        <f t="shared" si="21"/>
        <v/>
      </c>
    </row>
    <row r="151" spans="1:25" x14ac:dyDescent="0.4">
      <c r="A151" s="16"/>
      <c r="B151" t="str">
        <f t="shared" si="17"/>
        <v/>
      </c>
      <c r="C151" t="str">
        <f>IF(UserInput!B150=0,"",UserInput!B150)</f>
        <v/>
      </c>
      <c r="D151" t="str">
        <f t="shared" si="18"/>
        <v/>
      </c>
      <c r="E151" t="str">
        <f>IF(UserInput!B150=0,"",UserInput!B150)</f>
        <v/>
      </c>
      <c r="G151" s="16"/>
      <c r="H151" s="15" t="str">
        <f>IF(UserInput!D150="","",IF(UserInput!D150=UserInput!D149,"","SET "&amp;UserInput!D150&amp;"TIMESreport '"&amp;UserInput!D150&amp;" TIMESreport'/ "))</f>
        <v/>
      </c>
      <c r="I151" s="15" t="str">
        <f>IF(UserInput!B150=0,"",UserInput!B150)</f>
        <v/>
      </c>
      <c r="J151" s="15" t="str">
        <f>IF(UserInput!C150=0,"","'"&amp;UserInput!C150&amp;"'")</f>
        <v/>
      </c>
      <c r="K151" s="15" t="str">
        <f>IF(I151="","",IF(UserInput!D150=UserInput!D151,"","/ ;"))</f>
        <v/>
      </c>
      <c r="M151" t="str">
        <f t="shared" si="22"/>
        <v/>
      </c>
      <c r="N151" s="13" t="str">
        <f t="shared" si="19"/>
        <v xml:space="preserve"> </v>
      </c>
      <c r="O151" t="str">
        <f t="shared" si="20"/>
        <v/>
      </c>
      <c r="Q151" s="16"/>
      <c r="R151" s="15" t="str">
        <f>IF(UserInput!H150=0,"",IF(UserInput!H150=UserInput!H149,"","SET "&amp;UserInput!H150&amp;"TIMESreport '"&amp;UserInput!H150&amp;" TIMESreport'/ "))</f>
        <v/>
      </c>
      <c r="S151" s="15" t="str">
        <f>IF(UserInput!F150=0,"",UserInput!F150)</f>
        <v/>
      </c>
      <c r="T151" s="15" t="str">
        <f>IF(UserInput!G150=0,"","'"&amp;UserInput!G150&amp;"'")</f>
        <v/>
      </c>
      <c r="U151" s="15" t="str">
        <f>IF(S151="","",IF(UserInput!H150=UserInput!H151,"","/ ;"))</f>
        <v/>
      </c>
      <c r="W151" t="str">
        <f t="shared" si="23"/>
        <v/>
      </c>
      <c r="X151" t="str">
        <f t="shared" si="16"/>
        <v xml:space="preserve"> </v>
      </c>
      <c r="Y151" t="str">
        <f t="shared" si="21"/>
        <v/>
      </c>
    </row>
    <row r="152" spans="1:25" x14ac:dyDescent="0.4">
      <c r="A152" s="16"/>
      <c r="B152" t="str">
        <f t="shared" si="17"/>
        <v/>
      </c>
      <c r="C152" t="str">
        <f>IF(UserInput!B151=0,"",UserInput!B151)</f>
        <v/>
      </c>
      <c r="D152" t="str">
        <f t="shared" si="18"/>
        <v/>
      </c>
      <c r="E152" t="str">
        <f>IF(UserInput!B151=0,"",UserInput!B151)</f>
        <v/>
      </c>
      <c r="G152" s="16"/>
      <c r="H152" s="15" t="str">
        <f>IF(UserInput!D151="","",IF(UserInput!D151=UserInput!D150,"","SET "&amp;UserInput!D151&amp;"TIMESreport '"&amp;UserInput!D151&amp;" TIMESreport'/ "))</f>
        <v/>
      </c>
      <c r="I152" s="15" t="str">
        <f>IF(UserInput!B151=0,"",UserInput!B151)</f>
        <v/>
      </c>
      <c r="J152" s="15" t="str">
        <f>IF(UserInput!C151=0,"","'"&amp;UserInput!C151&amp;"'")</f>
        <v/>
      </c>
      <c r="K152" s="15" t="str">
        <f>IF(I152="","",IF(UserInput!D151=UserInput!D152,"","/ ;"))</f>
        <v/>
      </c>
      <c r="M152" t="str">
        <f t="shared" si="22"/>
        <v/>
      </c>
      <c r="N152" s="13" t="str">
        <f t="shared" si="19"/>
        <v xml:space="preserve"> </v>
      </c>
      <c r="O152" t="str">
        <f t="shared" si="20"/>
        <v/>
      </c>
      <c r="Q152" s="16"/>
      <c r="R152" s="15" t="str">
        <f>IF(UserInput!H151=0,"",IF(UserInput!H151=UserInput!H150,"","SET "&amp;UserInput!H151&amp;"TIMESreport '"&amp;UserInput!H151&amp;" TIMESreport'/ "))</f>
        <v/>
      </c>
      <c r="S152" s="15" t="str">
        <f>IF(UserInput!F151=0,"",UserInput!F151)</f>
        <v/>
      </c>
      <c r="T152" s="15" t="str">
        <f>IF(UserInput!G151=0,"","'"&amp;UserInput!G151&amp;"'")</f>
        <v/>
      </c>
      <c r="U152" s="15" t="str">
        <f>IF(S152="","",IF(UserInput!H151=UserInput!H152,"","/ ;"))</f>
        <v/>
      </c>
      <c r="W152" t="str">
        <f t="shared" si="23"/>
        <v/>
      </c>
      <c r="X152" t="str">
        <f t="shared" si="16"/>
        <v xml:space="preserve"> </v>
      </c>
      <c r="Y152" t="str">
        <f t="shared" si="21"/>
        <v/>
      </c>
    </row>
    <row r="153" spans="1:25" x14ac:dyDescent="0.4">
      <c r="A153" s="16"/>
      <c r="B153" t="str">
        <f t="shared" si="17"/>
        <v/>
      </c>
      <c r="C153" t="str">
        <f>IF(UserInput!B152=0,"",UserInput!B152)</f>
        <v/>
      </c>
      <c r="D153" t="str">
        <f t="shared" si="18"/>
        <v/>
      </c>
      <c r="E153" t="str">
        <f>IF(UserInput!B152=0,"",UserInput!B152)</f>
        <v/>
      </c>
      <c r="G153" s="16"/>
      <c r="H153" s="15" t="str">
        <f>IF(UserInput!D152="","",IF(UserInput!D152=UserInput!D151,"","SET "&amp;UserInput!D152&amp;"TIMESreport '"&amp;UserInput!D152&amp;" TIMESreport'/ "))</f>
        <v/>
      </c>
      <c r="I153" s="15" t="str">
        <f>IF(UserInput!B152=0,"",UserInput!B152)</f>
        <v/>
      </c>
      <c r="J153" s="15" t="str">
        <f>IF(UserInput!C152=0,"","'"&amp;UserInput!C152&amp;"'")</f>
        <v/>
      </c>
      <c r="K153" s="15" t="str">
        <f>IF(I153="","",IF(UserInput!D152=UserInput!D153,"","/ ;"))</f>
        <v/>
      </c>
      <c r="M153" t="str">
        <f t="shared" si="22"/>
        <v/>
      </c>
      <c r="N153" s="13" t="str">
        <f t="shared" si="19"/>
        <v xml:space="preserve"> </v>
      </c>
      <c r="O153" t="str">
        <f t="shared" si="20"/>
        <v/>
      </c>
      <c r="Q153" s="16"/>
      <c r="R153" s="15" t="str">
        <f>IF(UserInput!H152=0,"",IF(UserInput!H152=UserInput!H151,"","SET "&amp;UserInput!H152&amp;"TIMESreport '"&amp;UserInput!H152&amp;" TIMESreport'/ "))</f>
        <v/>
      </c>
      <c r="S153" s="15" t="str">
        <f>IF(UserInput!F152=0,"",UserInput!F152)</f>
        <v/>
      </c>
      <c r="T153" s="15" t="str">
        <f>IF(UserInput!G152=0,"","'"&amp;UserInput!G152&amp;"'")</f>
        <v/>
      </c>
      <c r="U153" s="15" t="str">
        <f>IF(S153="","",IF(UserInput!H152=UserInput!H153,"","/ ;"))</f>
        <v/>
      </c>
      <c r="W153" t="str">
        <f t="shared" si="23"/>
        <v/>
      </c>
      <c r="X153" t="str">
        <f t="shared" si="16"/>
        <v xml:space="preserve"> </v>
      </c>
      <c r="Y153" t="str">
        <f t="shared" si="21"/>
        <v/>
      </c>
    </row>
    <row r="154" spans="1:25" x14ac:dyDescent="0.4">
      <c r="A154" s="16"/>
      <c r="B154" t="str">
        <f t="shared" si="17"/>
        <v/>
      </c>
      <c r="C154" t="str">
        <f>IF(UserInput!B153=0,"",UserInput!B153)</f>
        <v/>
      </c>
      <c r="D154" t="str">
        <f t="shared" si="18"/>
        <v/>
      </c>
      <c r="E154" t="str">
        <f>IF(UserInput!B153=0,"",UserInput!B153)</f>
        <v/>
      </c>
      <c r="G154" s="16"/>
      <c r="H154" s="15" t="str">
        <f>IF(UserInput!D153="","",IF(UserInput!D153=UserInput!D152,"","SET "&amp;UserInput!D153&amp;"TIMESreport '"&amp;UserInput!D153&amp;" TIMESreport'/ "))</f>
        <v/>
      </c>
      <c r="I154" s="15" t="str">
        <f>IF(UserInput!B153=0,"",UserInput!B153)</f>
        <v/>
      </c>
      <c r="J154" s="15" t="str">
        <f>IF(UserInput!C153=0,"","'"&amp;UserInput!C153&amp;"'")</f>
        <v/>
      </c>
      <c r="K154" s="15" t="str">
        <f>IF(I154="","",IF(UserInput!D153=UserInput!D154,"","/ ;"))</f>
        <v/>
      </c>
      <c r="M154" t="str">
        <f t="shared" si="22"/>
        <v/>
      </c>
      <c r="N154" s="13" t="str">
        <f t="shared" si="19"/>
        <v xml:space="preserve"> </v>
      </c>
      <c r="O154" t="str">
        <f t="shared" si="20"/>
        <v/>
      </c>
      <c r="Q154" s="16"/>
      <c r="R154" s="15" t="str">
        <f>IF(UserInput!H153=0,"",IF(UserInput!H153=UserInput!H152,"","SET "&amp;UserInput!H153&amp;"TIMESreport '"&amp;UserInput!H153&amp;" TIMESreport'/ "))</f>
        <v/>
      </c>
      <c r="S154" s="15" t="str">
        <f>IF(UserInput!F153=0,"",UserInput!F153)</f>
        <v/>
      </c>
      <c r="T154" s="15" t="str">
        <f>IF(UserInput!G153=0,"","'"&amp;UserInput!G153&amp;"'")</f>
        <v/>
      </c>
      <c r="U154" s="15" t="str">
        <f>IF(S154="","",IF(UserInput!H153=UserInput!H154,"","/ ;"))</f>
        <v/>
      </c>
      <c r="W154" t="str">
        <f t="shared" si="23"/>
        <v/>
      </c>
      <c r="X154" t="str">
        <f t="shared" si="16"/>
        <v xml:space="preserve"> </v>
      </c>
      <c r="Y154" t="str">
        <f t="shared" si="21"/>
        <v/>
      </c>
    </row>
    <row r="155" spans="1:25" x14ac:dyDescent="0.4">
      <c r="A155" s="16"/>
      <c r="B155" t="str">
        <f t="shared" si="17"/>
        <v/>
      </c>
      <c r="C155" t="str">
        <f>IF(UserInput!B154=0,"",UserInput!B154)</f>
        <v/>
      </c>
      <c r="D155" t="str">
        <f t="shared" si="18"/>
        <v/>
      </c>
      <c r="E155" t="str">
        <f>IF(UserInput!B154=0,"",UserInput!B154)</f>
        <v/>
      </c>
      <c r="G155" s="16"/>
      <c r="H155" s="15" t="str">
        <f>IF(UserInput!D154="","",IF(UserInput!D154=UserInput!D153,"","SET "&amp;UserInput!D154&amp;"TIMESreport '"&amp;UserInput!D154&amp;" TIMESreport'/ "))</f>
        <v/>
      </c>
      <c r="I155" s="15" t="str">
        <f>IF(UserInput!B154=0,"",UserInput!B154)</f>
        <v/>
      </c>
      <c r="J155" s="15" t="str">
        <f>IF(UserInput!C154=0,"","'"&amp;UserInput!C154&amp;"'")</f>
        <v/>
      </c>
      <c r="K155" s="15" t="str">
        <f>IF(I155="","",IF(UserInput!D154=UserInput!D155,"","/ ;"))</f>
        <v/>
      </c>
      <c r="M155" t="str">
        <f t="shared" si="22"/>
        <v/>
      </c>
      <c r="N155" s="13" t="str">
        <f t="shared" si="19"/>
        <v xml:space="preserve"> </v>
      </c>
      <c r="O155" t="str">
        <f t="shared" si="20"/>
        <v/>
      </c>
      <c r="Q155" s="16"/>
      <c r="R155" s="15" t="str">
        <f>IF(UserInput!H154=0,"",IF(UserInput!H154=UserInput!H153,"","SET "&amp;UserInput!H154&amp;"TIMESreport '"&amp;UserInput!H154&amp;" TIMESreport'/ "))</f>
        <v/>
      </c>
      <c r="S155" s="15" t="str">
        <f>IF(UserInput!F154=0,"",UserInput!F154)</f>
        <v/>
      </c>
      <c r="T155" s="15" t="str">
        <f>IF(UserInput!G154=0,"","'"&amp;UserInput!G154&amp;"'")</f>
        <v/>
      </c>
      <c r="U155" s="15" t="str">
        <f>IF(S155="","",IF(UserInput!H154=UserInput!H155,"","/ ;"))</f>
        <v/>
      </c>
      <c r="W155" t="str">
        <f t="shared" si="23"/>
        <v/>
      </c>
      <c r="X155" t="str">
        <f t="shared" si="16"/>
        <v xml:space="preserve"> </v>
      </c>
      <c r="Y155" t="str">
        <f t="shared" si="21"/>
        <v/>
      </c>
    </row>
    <row r="156" spans="1:25" x14ac:dyDescent="0.4">
      <c r="A156" s="16"/>
      <c r="B156" t="str">
        <f t="shared" si="17"/>
        <v/>
      </c>
      <c r="C156" t="str">
        <f>IF(UserInput!B155=0,"",UserInput!B155)</f>
        <v/>
      </c>
      <c r="D156" t="str">
        <f t="shared" si="18"/>
        <v/>
      </c>
      <c r="E156" t="str">
        <f>IF(UserInput!B155=0,"",UserInput!B155)</f>
        <v/>
      </c>
      <c r="G156" s="16"/>
      <c r="H156" s="15" t="str">
        <f>IF(UserInput!D155="","",IF(UserInput!D155=UserInput!D154,"","SET "&amp;UserInput!D155&amp;"TIMESreport '"&amp;UserInput!D155&amp;" TIMESreport'/ "))</f>
        <v/>
      </c>
      <c r="I156" s="15" t="str">
        <f>IF(UserInput!B155=0,"",UserInput!B155)</f>
        <v/>
      </c>
      <c r="J156" s="15" t="str">
        <f>IF(UserInput!C155=0,"","'"&amp;UserInput!C155&amp;"'")</f>
        <v/>
      </c>
      <c r="K156" s="15" t="str">
        <f>IF(I156="","",IF(UserInput!D155=UserInput!D156,"","/ ;"))</f>
        <v/>
      </c>
      <c r="M156" t="str">
        <f t="shared" si="22"/>
        <v/>
      </c>
      <c r="N156" s="13" t="str">
        <f t="shared" si="19"/>
        <v xml:space="preserve"> </v>
      </c>
      <c r="O156" t="str">
        <f t="shared" si="20"/>
        <v/>
      </c>
      <c r="Q156" s="16"/>
      <c r="R156" s="15" t="str">
        <f>IF(UserInput!H155=0,"",IF(UserInput!H155=UserInput!H154,"","SET "&amp;UserInput!H155&amp;"TIMESreport '"&amp;UserInput!H155&amp;" TIMESreport'/ "))</f>
        <v/>
      </c>
      <c r="S156" s="15" t="str">
        <f>IF(UserInput!F155=0,"",UserInput!F155)</f>
        <v/>
      </c>
      <c r="T156" s="15" t="str">
        <f>IF(UserInput!G155=0,"","'"&amp;UserInput!G155&amp;"'")</f>
        <v/>
      </c>
      <c r="U156" s="15" t="str">
        <f>IF(S156="","",IF(UserInput!H155=UserInput!H156,"","/ ;"))</f>
        <v/>
      </c>
      <c r="W156" t="str">
        <f t="shared" si="23"/>
        <v/>
      </c>
      <c r="X156" t="str">
        <f t="shared" si="16"/>
        <v xml:space="preserve"> </v>
      </c>
      <c r="Y156" t="str">
        <f t="shared" si="21"/>
        <v/>
      </c>
    </row>
    <row r="157" spans="1:25" x14ac:dyDescent="0.4">
      <c r="A157" s="16"/>
      <c r="B157" t="str">
        <f t="shared" si="17"/>
        <v/>
      </c>
      <c r="C157" t="str">
        <f>IF(UserInput!B156=0,"",UserInput!B156)</f>
        <v/>
      </c>
      <c r="D157" t="str">
        <f t="shared" si="18"/>
        <v/>
      </c>
      <c r="E157" t="str">
        <f>IF(UserInput!B156=0,"",UserInput!B156)</f>
        <v/>
      </c>
      <c r="G157" s="16"/>
      <c r="H157" s="15" t="str">
        <f>IF(UserInput!D156="","",IF(UserInput!D156=UserInput!D155,"","SET "&amp;UserInput!D156&amp;"TIMESreport '"&amp;UserInput!D156&amp;" TIMESreport'/ "))</f>
        <v/>
      </c>
      <c r="I157" s="15" t="str">
        <f>IF(UserInput!B156=0,"",UserInput!B156)</f>
        <v/>
      </c>
      <c r="J157" s="15" t="str">
        <f>IF(UserInput!C156=0,"","'"&amp;UserInput!C156&amp;"'")</f>
        <v/>
      </c>
      <c r="K157" s="15" t="str">
        <f>IF(I157="","",IF(UserInput!D156=UserInput!D157,"","/ ;"))</f>
        <v/>
      </c>
      <c r="M157" t="str">
        <f t="shared" si="22"/>
        <v/>
      </c>
      <c r="N157" s="13" t="str">
        <f t="shared" si="19"/>
        <v xml:space="preserve"> </v>
      </c>
      <c r="O157" t="str">
        <f t="shared" si="20"/>
        <v/>
      </c>
      <c r="Q157" s="16"/>
      <c r="R157" s="15" t="str">
        <f>IF(UserInput!H156=0,"",IF(UserInput!H156=UserInput!H155,"","SET "&amp;UserInput!H156&amp;"TIMESreport '"&amp;UserInput!H156&amp;" TIMESreport'/ "))</f>
        <v/>
      </c>
      <c r="S157" s="15" t="str">
        <f>IF(UserInput!F156=0,"",UserInput!F156)</f>
        <v/>
      </c>
      <c r="T157" s="15" t="str">
        <f>IF(UserInput!G156=0,"","'"&amp;UserInput!G156&amp;"'")</f>
        <v/>
      </c>
      <c r="U157" s="15" t="str">
        <f>IF(S157="","",IF(UserInput!H156=UserInput!H157,"","/ ;"))</f>
        <v/>
      </c>
      <c r="W157" t="str">
        <f t="shared" si="23"/>
        <v/>
      </c>
      <c r="X157" t="str">
        <f t="shared" si="16"/>
        <v xml:space="preserve"> </v>
      </c>
      <c r="Y157" t="str">
        <f t="shared" si="21"/>
        <v/>
      </c>
    </row>
    <row r="158" spans="1:25" x14ac:dyDescent="0.4">
      <c r="A158" s="16"/>
      <c r="B158" t="str">
        <f t="shared" si="17"/>
        <v/>
      </c>
      <c r="C158" t="str">
        <f>IF(UserInput!B157=0,"",UserInput!B157)</f>
        <v/>
      </c>
      <c r="D158" t="str">
        <f t="shared" si="18"/>
        <v/>
      </c>
      <c r="E158" t="str">
        <f>IF(UserInput!B157=0,"",UserInput!B157)</f>
        <v/>
      </c>
      <c r="G158" s="16"/>
      <c r="H158" s="15" t="str">
        <f>IF(UserInput!D157="","",IF(UserInput!D157=UserInput!D156,"","SET "&amp;UserInput!D157&amp;"TIMESreport '"&amp;UserInput!D157&amp;" TIMESreport'/ "))</f>
        <v/>
      </c>
      <c r="I158" s="15" t="str">
        <f>IF(UserInput!B157=0,"",UserInput!B157)</f>
        <v/>
      </c>
      <c r="J158" s="15" t="str">
        <f>IF(UserInput!C157=0,"","'"&amp;UserInput!C157&amp;"'")</f>
        <v/>
      </c>
      <c r="K158" s="15" t="str">
        <f>IF(I158="","",IF(UserInput!D157=UserInput!D158,"","/ ;"))</f>
        <v/>
      </c>
      <c r="M158" t="str">
        <f t="shared" si="22"/>
        <v/>
      </c>
      <c r="N158" s="13" t="str">
        <f t="shared" si="19"/>
        <v xml:space="preserve"> </v>
      </c>
      <c r="O158" t="str">
        <f t="shared" si="20"/>
        <v/>
      </c>
      <c r="Q158" s="16"/>
      <c r="R158" s="15" t="str">
        <f>IF(UserInput!H157=0,"",IF(UserInput!H157=UserInput!H156,"","SET "&amp;UserInput!H157&amp;"TIMESreport '"&amp;UserInput!H157&amp;" TIMESreport'/ "))</f>
        <v/>
      </c>
      <c r="S158" s="15" t="str">
        <f>IF(UserInput!F157=0,"",UserInput!F157)</f>
        <v/>
      </c>
      <c r="T158" s="15" t="str">
        <f>IF(UserInput!G157=0,"","'"&amp;UserInput!G157&amp;"'")</f>
        <v/>
      </c>
      <c r="U158" s="15" t="str">
        <f>IF(S158="","",IF(UserInput!H157=UserInput!H158,"","/ ;"))</f>
        <v/>
      </c>
      <c r="W158" t="str">
        <f t="shared" si="23"/>
        <v/>
      </c>
      <c r="X158" t="str">
        <f t="shared" si="16"/>
        <v xml:space="preserve"> </v>
      </c>
      <c r="Y158" t="str">
        <f t="shared" si="21"/>
        <v/>
      </c>
    </row>
    <row r="159" spans="1:25" x14ac:dyDescent="0.4">
      <c r="A159" s="16"/>
      <c r="B159" t="str">
        <f t="shared" si="17"/>
        <v/>
      </c>
      <c r="C159" t="str">
        <f>IF(UserInput!B158=0,"",UserInput!B158)</f>
        <v/>
      </c>
      <c r="D159" t="str">
        <f t="shared" si="18"/>
        <v/>
      </c>
      <c r="E159" t="str">
        <f>IF(UserInput!B158=0,"",UserInput!B158)</f>
        <v/>
      </c>
      <c r="G159" s="16"/>
      <c r="H159" s="15" t="str">
        <f>IF(UserInput!D158="","",IF(UserInput!D158=UserInput!D157,"","SET "&amp;UserInput!D158&amp;"TIMESreport '"&amp;UserInput!D158&amp;" TIMESreport'/ "))</f>
        <v/>
      </c>
      <c r="I159" s="15" t="str">
        <f>IF(UserInput!B158=0,"",UserInput!B158)</f>
        <v/>
      </c>
      <c r="J159" s="15" t="str">
        <f>IF(UserInput!C158=0,"","'"&amp;UserInput!C158&amp;"'")</f>
        <v/>
      </c>
      <c r="K159" s="15" t="str">
        <f>IF(I159="","",IF(UserInput!D158=UserInput!D159,"","/ ;"))</f>
        <v/>
      </c>
      <c r="M159" t="str">
        <f t="shared" si="22"/>
        <v/>
      </c>
      <c r="N159" s="13" t="str">
        <f t="shared" si="19"/>
        <v xml:space="preserve"> </v>
      </c>
      <c r="O159" t="str">
        <f t="shared" si="20"/>
        <v/>
      </c>
      <c r="Q159" s="16"/>
      <c r="R159" s="15" t="str">
        <f>IF(UserInput!H158=0,"",IF(UserInput!H158=UserInput!H157,"","SET "&amp;UserInput!H158&amp;"TIMESreport '"&amp;UserInput!H158&amp;" TIMESreport'/ "))</f>
        <v/>
      </c>
      <c r="S159" s="15" t="str">
        <f>IF(UserInput!F158=0,"",UserInput!F158)</f>
        <v/>
      </c>
      <c r="T159" s="15" t="str">
        <f>IF(UserInput!G158=0,"","'"&amp;UserInput!G158&amp;"'")</f>
        <v/>
      </c>
      <c r="U159" s="15" t="str">
        <f>IF(S159="","",IF(UserInput!H158=UserInput!H159,"","/ ;"))</f>
        <v/>
      </c>
      <c r="W159" t="str">
        <f t="shared" si="23"/>
        <v/>
      </c>
      <c r="X159" t="str">
        <f t="shared" si="16"/>
        <v xml:space="preserve"> </v>
      </c>
      <c r="Y159" t="str">
        <f t="shared" si="21"/>
        <v/>
      </c>
    </row>
    <row r="160" spans="1:25" x14ac:dyDescent="0.4">
      <c r="A160" s="16"/>
      <c r="B160" t="str">
        <f t="shared" si="17"/>
        <v/>
      </c>
      <c r="C160" t="str">
        <f>IF(UserInput!B159=0,"",UserInput!B159)</f>
        <v/>
      </c>
      <c r="D160" t="str">
        <f t="shared" si="18"/>
        <v/>
      </c>
      <c r="E160" t="str">
        <f>IF(UserInput!B159=0,"",UserInput!B159)</f>
        <v/>
      </c>
      <c r="G160" s="16"/>
      <c r="H160" s="15" t="str">
        <f>IF(UserInput!D159="","",IF(UserInput!D159=UserInput!D158,"","SET "&amp;UserInput!D159&amp;"TIMESreport '"&amp;UserInput!D159&amp;" TIMESreport'/ "))</f>
        <v/>
      </c>
      <c r="I160" s="15" t="str">
        <f>IF(UserInput!B159=0,"",UserInput!B159)</f>
        <v/>
      </c>
      <c r="J160" s="15" t="str">
        <f>IF(UserInput!C159=0,"","'"&amp;UserInput!C159&amp;"'")</f>
        <v/>
      </c>
      <c r="K160" s="15" t="str">
        <f>IF(I160="","",IF(UserInput!D159=UserInput!D160,"","/ ;"))</f>
        <v/>
      </c>
      <c r="M160" t="str">
        <f t="shared" si="22"/>
        <v/>
      </c>
      <c r="N160" s="13" t="str">
        <f t="shared" si="19"/>
        <v xml:space="preserve"> </v>
      </c>
      <c r="O160" t="str">
        <f t="shared" si="20"/>
        <v/>
      </c>
      <c r="Q160" s="16"/>
      <c r="R160" s="15" t="str">
        <f>IF(UserInput!H159=0,"",IF(UserInput!H159=UserInput!H158,"","SET "&amp;UserInput!H159&amp;"TIMESreport '"&amp;UserInput!H159&amp;" TIMESreport'/ "))</f>
        <v/>
      </c>
      <c r="S160" s="15" t="str">
        <f>IF(UserInput!F159=0,"",UserInput!F159)</f>
        <v/>
      </c>
      <c r="T160" s="15" t="str">
        <f>IF(UserInput!G159=0,"","'"&amp;UserInput!G159&amp;"'")</f>
        <v/>
      </c>
      <c r="U160" s="15" t="str">
        <f>IF(S160="","",IF(UserInput!H159=UserInput!H160,"","/ ;"))</f>
        <v/>
      </c>
      <c r="W160" t="str">
        <f t="shared" si="23"/>
        <v/>
      </c>
      <c r="X160" t="str">
        <f t="shared" si="16"/>
        <v xml:space="preserve"> </v>
      </c>
      <c r="Y160" t="str">
        <f t="shared" si="21"/>
        <v/>
      </c>
    </row>
    <row r="161" spans="1:25" x14ac:dyDescent="0.4">
      <c r="A161" s="16"/>
      <c r="B161" t="str">
        <f t="shared" si="17"/>
        <v/>
      </c>
      <c r="C161" t="str">
        <f>IF(UserInput!B160=0,"",UserInput!B160)</f>
        <v/>
      </c>
      <c r="D161" t="str">
        <f t="shared" si="18"/>
        <v/>
      </c>
      <c r="E161" t="str">
        <f>IF(UserInput!B160=0,"",UserInput!B160)</f>
        <v/>
      </c>
      <c r="G161" s="16"/>
      <c r="H161" s="15" t="str">
        <f>IF(UserInput!D160="","",IF(UserInput!D160=UserInput!D159,"","SET "&amp;UserInput!D160&amp;"TIMESreport '"&amp;UserInput!D160&amp;" TIMESreport'/ "))</f>
        <v/>
      </c>
      <c r="I161" s="15" t="str">
        <f>IF(UserInput!B160=0,"",UserInput!B160)</f>
        <v/>
      </c>
      <c r="J161" s="15" t="str">
        <f>IF(UserInput!C160=0,"","'"&amp;UserInput!C160&amp;"'")</f>
        <v/>
      </c>
      <c r="K161" s="15" t="str">
        <f>IF(I161="","",IF(UserInput!D160=UserInput!D161,"","/ ;"))</f>
        <v/>
      </c>
      <c r="M161" t="str">
        <f t="shared" si="22"/>
        <v/>
      </c>
      <c r="N161" s="13" t="str">
        <f t="shared" si="19"/>
        <v xml:space="preserve"> </v>
      </c>
      <c r="O161" t="str">
        <f t="shared" si="20"/>
        <v/>
      </c>
      <c r="Q161" s="16"/>
      <c r="R161" s="15" t="str">
        <f>IF(UserInput!H160=0,"",IF(UserInput!H160=UserInput!H159,"","SET "&amp;UserInput!H160&amp;"TIMESreport '"&amp;UserInput!H160&amp;" TIMESreport'/ "))</f>
        <v/>
      </c>
      <c r="S161" s="15" t="str">
        <f>IF(UserInput!F160=0,"",UserInput!F160)</f>
        <v/>
      </c>
      <c r="T161" s="15" t="str">
        <f>IF(UserInput!G160=0,"","'"&amp;UserInput!G160&amp;"'")</f>
        <v/>
      </c>
      <c r="U161" s="15" t="str">
        <f>IF(S161="","",IF(UserInput!H160=UserInput!H161,"","/ ;"))</f>
        <v/>
      </c>
      <c r="W161" t="str">
        <f t="shared" si="23"/>
        <v/>
      </c>
      <c r="X161" t="str">
        <f t="shared" si="16"/>
        <v xml:space="preserve"> </v>
      </c>
      <c r="Y161" t="str">
        <f t="shared" si="21"/>
        <v/>
      </c>
    </row>
    <row r="162" spans="1:25" x14ac:dyDescent="0.4">
      <c r="A162" s="16"/>
      <c r="B162" t="str">
        <f t="shared" si="17"/>
        <v/>
      </c>
      <c r="C162" t="str">
        <f>IF(UserInput!B161=0,"",UserInput!B161)</f>
        <v/>
      </c>
      <c r="D162" t="str">
        <f t="shared" si="18"/>
        <v/>
      </c>
      <c r="E162" t="str">
        <f>IF(UserInput!B161=0,"",UserInput!B161)</f>
        <v/>
      </c>
      <c r="G162" s="16"/>
      <c r="H162" s="15" t="str">
        <f>IF(UserInput!D161="","",IF(UserInput!D161=UserInput!D160,"","SET "&amp;UserInput!D161&amp;"TIMESreport '"&amp;UserInput!D161&amp;" TIMESreport'/ "))</f>
        <v/>
      </c>
      <c r="I162" s="15" t="str">
        <f>IF(UserInput!B161=0,"",UserInput!B161)</f>
        <v/>
      </c>
      <c r="J162" s="15" t="str">
        <f>IF(UserInput!C161=0,"","'"&amp;UserInput!C161&amp;"'")</f>
        <v/>
      </c>
      <c r="K162" s="15" t="str">
        <f>IF(I162="","",IF(UserInput!D161=UserInput!D162,"","/ ;"))</f>
        <v/>
      </c>
      <c r="M162" t="str">
        <f t="shared" si="22"/>
        <v/>
      </c>
      <c r="N162" s="13" t="str">
        <f t="shared" si="19"/>
        <v xml:space="preserve"> </v>
      </c>
      <c r="O162" t="str">
        <f t="shared" si="20"/>
        <v/>
      </c>
      <c r="Q162" s="16"/>
      <c r="R162" s="15" t="str">
        <f>IF(UserInput!H161=0,"",IF(UserInput!H161=UserInput!H160,"","SET "&amp;UserInput!H161&amp;"TIMESreport '"&amp;UserInput!H161&amp;" TIMESreport'/ "))</f>
        <v/>
      </c>
      <c r="S162" s="15" t="str">
        <f>IF(UserInput!F161=0,"",UserInput!F161)</f>
        <v/>
      </c>
      <c r="T162" s="15" t="str">
        <f>IF(UserInput!G161=0,"","'"&amp;UserInput!G161&amp;"'")</f>
        <v/>
      </c>
      <c r="U162" s="15" t="str">
        <f>IF(S162="","",IF(UserInput!H161=UserInput!H162,"","/ ;"))</f>
        <v/>
      </c>
      <c r="W162" t="str">
        <f t="shared" si="23"/>
        <v/>
      </c>
      <c r="X162" t="str">
        <f t="shared" si="16"/>
        <v xml:space="preserve"> </v>
      </c>
      <c r="Y162" t="str">
        <f t="shared" si="21"/>
        <v/>
      </c>
    </row>
    <row r="163" spans="1:25" x14ac:dyDescent="0.4">
      <c r="A163" s="16"/>
      <c r="B163" t="str">
        <f t="shared" si="17"/>
        <v/>
      </c>
      <c r="C163" t="str">
        <f>IF(UserInput!B162=0,"",UserInput!B162)</f>
        <v/>
      </c>
      <c r="D163" t="str">
        <f t="shared" si="18"/>
        <v/>
      </c>
      <c r="E163" t="str">
        <f>IF(UserInput!B162=0,"",UserInput!B162)</f>
        <v/>
      </c>
      <c r="G163" s="16"/>
      <c r="H163" s="15" t="str">
        <f>IF(UserInput!D162="","",IF(UserInput!D162=UserInput!D161,"","SET "&amp;UserInput!D162&amp;"TIMESreport '"&amp;UserInput!D162&amp;" TIMESreport'/ "))</f>
        <v/>
      </c>
      <c r="I163" s="15" t="str">
        <f>IF(UserInput!B162=0,"",UserInput!B162)</f>
        <v/>
      </c>
      <c r="J163" s="15" t="str">
        <f>IF(UserInput!C162=0,"","'"&amp;UserInput!C162&amp;"'")</f>
        <v/>
      </c>
      <c r="K163" s="15" t="str">
        <f>IF(I163="","",IF(UserInput!D162=UserInput!D163,"","/ ;"))</f>
        <v/>
      </c>
      <c r="M163" t="str">
        <f t="shared" si="22"/>
        <v/>
      </c>
      <c r="N163" s="13" t="str">
        <f t="shared" si="19"/>
        <v xml:space="preserve"> </v>
      </c>
      <c r="O163" t="str">
        <f t="shared" si="20"/>
        <v/>
      </c>
      <c r="Q163" s="16"/>
      <c r="R163" s="15" t="str">
        <f>IF(UserInput!H162=0,"",IF(UserInput!H162=UserInput!H161,"","SET "&amp;UserInput!H162&amp;"TIMESreport '"&amp;UserInput!H162&amp;" TIMESreport'/ "))</f>
        <v/>
      </c>
      <c r="S163" s="15" t="str">
        <f>IF(UserInput!F162=0,"",UserInput!F162)</f>
        <v/>
      </c>
      <c r="T163" s="15" t="str">
        <f>IF(UserInput!G162=0,"","'"&amp;UserInput!G162&amp;"'")</f>
        <v/>
      </c>
      <c r="U163" s="15" t="str">
        <f>IF(S163="","",IF(UserInput!H162=UserInput!H163,"","/ ;"))</f>
        <v/>
      </c>
      <c r="W163" t="str">
        <f t="shared" si="23"/>
        <v/>
      </c>
      <c r="X163" t="str">
        <f t="shared" si="16"/>
        <v xml:space="preserve"> </v>
      </c>
      <c r="Y163" t="str">
        <f t="shared" si="21"/>
        <v/>
      </c>
    </row>
    <row r="164" spans="1:25" x14ac:dyDescent="0.4">
      <c r="A164" s="16"/>
      <c r="B164" t="str">
        <f t="shared" si="17"/>
        <v/>
      </c>
      <c r="C164" t="str">
        <f>IF(UserInput!B163=0,"",UserInput!B163)</f>
        <v/>
      </c>
      <c r="D164" t="str">
        <f t="shared" si="18"/>
        <v/>
      </c>
      <c r="E164" t="str">
        <f>IF(UserInput!B163=0,"",UserInput!B163)</f>
        <v/>
      </c>
      <c r="G164" s="16"/>
      <c r="H164" s="15" t="str">
        <f>IF(UserInput!D163="","",IF(UserInput!D163=UserInput!D162,"","SET "&amp;UserInput!D163&amp;"TIMESreport '"&amp;UserInput!D163&amp;" TIMESreport'/ "))</f>
        <v/>
      </c>
      <c r="I164" s="15" t="str">
        <f>IF(UserInput!B163=0,"",UserInput!B163)</f>
        <v/>
      </c>
      <c r="J164" s="15" t="str">
        <f>IF(UserInput!C163=0,"","'"&amp;UserInput!C163&amp;"'")</f>
        <v/>
      </c>
      <c r="K164" s="15" t="str">
        <f>IF(I164="","",IF(UserInput!D163=UserInput!D164,"","/ ;"))</f>
        <v/>
      </c>
      <c r="M164" t="str">
        <f t="shared" si="22"/>
        <v/>
      </c>
      <c r="N164" s="13" t="str">
        <f t="shared" si="19"/>
        <v xml:space="preserve"> </v>
      </c>
      <c r="O164" t="str">
        <f t="shared" si="20"/>
        <v/>
      </c>
      <c r="Q164" s="16"/>
      <c r="R164" s="15" t="str">
        <f>IF(UserInput!H163=0,"",IF(UserInput!H163=UserInput!H162,"","SET "&amp;UserInput!H163&amp;"TIMESreport '"&amp;UserInput!H163&amp;" TIMESreport'/ "))</f>
        <v/>
      </c>
      <c r="S164" s="15" t="str">
        <f>IF(UserInput!F163=0,"",UserInput!F163)</f>
        <v/>
      </c>
      <c r="T164" s="15" t="str">
        <f>IF(UserInput!G163=0,"","'"&amp;UserInput!G163&amp;"'")</f>
        <v/>
      </c>
      <c r="U164" s="15" t="str">
        <f>IF(S164="","",IF(UserInput!H163=UserInput!H164,"","/ ;"))</f>
        <v/>
      </c>
      <c r="W164" t="str">
        <f t="shared" si="23"/>
        <v/>
      </c>
      <c r="X164" t="str">
        <f t="shared" si="16"/>
        <v xml:space="preserve"> </v>
      </c>
      <c r="Y164" t="str">
        <f t="shared" si="21"/>
        <v/>
      </c>
    </row>
    <row r="165" spans="1:25" x14ac:dyDescent="0.4">
      <c r="A165" s="16"/>
      <c r="B165" t="str">
        <f t="shared" si="17"/>
        <v/>
      </c>
      <c r="C165" t="str">
        <f>IF(UserInput!B164=0,"",UserInput!B164)</f>
        <v/>
      </c>
      <c r="D165" t="str">
        <f t="shared" si="18"/>
        <v/>
      </c>
      <c r="E165" t="str">
        <f>IF(UserInput!B164=0,"",UserInput!B164)</f>
        <v/>
      </c>
      <c r="G165" s="16"/>
      <c r="H165" s="15" t="str">
        <f>IF(UserInput!D164="","",IF(UserInput!D164=UserInput!D163,"","SET "&amp;UserInput!D164&amp;"TIMESreport '"&amp;UserInput!D164&amp;" TIMESreport'/ "))</f>
        <v/>
      </c>
      <c r="I165" s="15" t="str">
        <f>IF(UserInput!B164=0,"",UserInput!B164)</f>
        <v/>
      </c>
      <c r="J165" s="15" t="str">
        <f>IF(UserInput!C164=0,"","'"&amp;UserInput!C164&amp;"'")</f>
        <v/>
      </c>
      <c r="K165" s="15" t="str">
        <f>IF(I165="","",IF(UserInput!D164=UserInput!D165,"","/ ;"))</f>
        <v/>
      </c>
      <c r="M165" t="str">
        <f t="shared" si="22"/>
        <v/>
      </c>
      <c r="N165" s="13" t="str">
        <f t="shared" si="19"/>
        <v xml:space="preserve"> </v>
      </c>
      <c r="O165" t="str">
        <f t="shared" si="20"/>
        <v/>
      </c>
      <c r="Q165" s="16"/>
      <c r="R165" s="15" t="str">
        <f>IF(UserInput!H164=0,"",IF(UserInput!H164=UserInput!H163,"","SET "&amp;UserInput!H164&amp;"TIMESreport '"&amp;UserInput!H164&amp;" TIMESreport'/ "))</f>
        <v/>
      </c>
      <c r="S165" s="15" t="str">
        <f>IF(UserInput!F164=0,"",UserInput!F164)</f>
        <v/>
      </c>
      <c r="T165" s="15" t="str">
        <f>IF(UserInput!G164=0,"","'"&amp;UserInput!G164&amp;"'")</f>
        <v/>
      </c>
      <c r="U165" s="15" t="str">
        <f>IF(S165="","",IF(UserInput!H164=UserInput!H165,"","/ ;"))</f>
        <v/>
      </c>
      <c r="W165" t="str">
        <f t="shared" si="23"/>
        <v/>
      </c>
      <c r="X165" t="str">
        <f t="shared" si="16"/>
        <v xml:space="preserve"> </v>
      </c>
      <c r="Y165" t="str">
        <f t="shared" si="21"/>
        <v/>
      </c>
    </row>
    <row r="166" spans="1:25" x14ac:dyDescent="0.4">
      <c r="A166" s="16"/>
      <c r="B166" t="str">
        <f t="shared" si="17"/>
        <v/>
      </c>
      <c r="C166" t="str">
        <f>IF(UserInput!B165=0,"",UserInput!B165)</f>
        <v/>
      </c>
      <c r="D166" t="str">
        <f t="shared" si="18"/>
        <v/>
      </c>
      <c r="E166" t="str">
        <f>IF(UserInput!B165=0,"",UserInput!B165)</f>
        <v/>
      </c>
      <c r="G166" s="16"/>
      <c r="H166" s="15" t="str">
        <f>IF(UserInput!D165="","",IF(UserInput!D165=UserInput!D164,"","SET "&amp;UserInput!D165&amp;"TIMESreport '"&amp;UserInput!D165&amp;" TIMESreport'/ "))</f>
        <v/>
      </c>
      <c r="I166" s="15" t="str">
        <f>IF(UserInput!B165=0,"",UserInput!B165)</f>
        <v/>
      </c>
      <c r="J166" s="15" t="str">
        <f>IF(UserInput!C165=0,"","'"&amp;UserInput!C165&amp;"'")</f>
        <v/>
      </c>
      <c r="K166" s="15" t="str">
        <f>IF(I166="","",IF(UserInput!D165=UserInput!D166,"","/ ;"))</f>
        <v/>
      </c>
      <c r="M166" t="str">
        <f t="shared" si="22"/>
        <v/>
      </c>
      <c r="N166" s="13" t="str">
        <f t="shared" si="19"/>
        <v xml:space="preserve"> </v>
      </c>
      <c r="O166" t="str">
        <f t="shared" si="20"/>
        <v/>
      </c>
      <c r="Q166" s="16"/>
      <c r="R166" s="15" t="str">
        <f>IF(UserInput!H165=0,"",IF(UserInput!H165=UserInput!H164,"","SET "&amp;UserInput!H165&amp;"TIMESreport '"&amp;UserInput!H165&amp;" TIMESreport'/ "))</f>
        <v/>
      </c>
      <c r="S166" s="15" t="str">
        <f>IF(UserInput!F165=0,"",UserInput!F165)</f>
        <v/>
      </c>
      <c r="T166" s="15" t="str">
        <f>IF(UserInput!G165=0,"","'"&amp;UserInput!G165&amp;"'")</f>
        <v/>
      </c>
      <c r="U166" s="15" t="str">
        <f>IF(S166="","",IF(UserInput!H165=UserInput!H166,"","/ ;"))</f>
        <v/>
      </c>
      <c r="W166" t="str">
        <f t="shared" si="23"/>
        <v/>
      </c>
      <c r="X166" t="str">
        <f t="shared" si="16"/>
        <v xml:space="preserve"> </v>
      </c>
      <c r="Y166" t="str">
        <f t="shared" si="21"/>
        <v/>
      </c>
    </row>
    <row r="167" spans="1:25" x14ac:dyDescent="0.4">
      <c r="A167" s="16"/>
      <c r="B167" t="str">
        <f t="shared" si="17"/>
        <v/>
      </c>
      <c r="C167" t="str">
        <f>IF(UserInput!B166=0,"",UserInput!B166)</f>
        <v/>
      </c>
      <c r="D167" t="str">
        <f t="shared" si="18"/>
        <v/>
      </c>
      <c r="E167" t="str">
        <f>IF(UserInput!B166=0,"",UserInput!B166)</f>
        <v/>
      </c>
      <c r="G167" s="16"/>
      <c r="H167" s="15" t="str">
        <f>IF(UserInput!D166="","",IF(UserInput!D166=UserInput!D165,"","SET "&amp;UserInput!D166&amp;"TIMESreport '"&amp;UserInput!D166&amp;" TIMESreport'/ "))</f>
        <v/>
      </c>
      <c r="I167" s="15" t="str">
        <f>IF(UserInput!B166=0,"",UserInput!B166)</f>
        <v/>
      </c>
      <c r="J167" s="15" t="str">
        <f>IF(UserInput!C166=0,"","'"&amp;UserInput!C166&amp;"'")</f>
        <v/>
      </c>
      <c r="K167" s="15" t="str">
        <f>IF(I167="","",IF(UserInput!D166=UserInput!D167,"","/ ;"))</f>
        <v/>
      </c>
      <c r="M167" t="str">
        <f t="shared" si="22"/>
        <v/>
      </c>
      <c r="N167" s="13" t="str">
        <f t="shared" si="19"/>
        <v xml:space="preserve"> </v>
      </c>
      <c r="O167" t="str">
        <f t="shared" si="20"/>
        <v/>
      </c>
      <c r="Q167" s="16"/>
      <c r="R167" s="15" t="str">
        <f>IF(UserInput!H166=0,"",IF(UserInput!H166=UserInput!H165,"","SET "&amp;UserInput!H166&amp;"TIMESreport '"&amp;UserInput!H166&amp;" TIMESreport'/ "))</f>
        <v/>
      </c>
      <c r="S167" s="15" t="str">
        <f>IF(UserInput!F166=0,"",UserInput!F166)</f>
        <v/>
      </c>
      <c r="T167" s="15" t="str">
        <f>IF(UserInput!G166=0,"","'"&amp;UserInput!G166&amp;"'")</f>
        <v/>
      </c>
      <c r="U167" s="15" t="str">
        <f>IF(S167="","",IF(UserInput!H166=UserInput!H167,"","/ ;"))</f>
        <v/>
      </c>
      <c r="W167" t="str">
        <f t="shared" si="23"/>
        <v/>
      </c>
      <c r="X167" t="str">
        <f t="shared" si="16"/>
        <v xml:space="preserve"> </v>
      </c>
      <c r="Y167" t="str">
        <f t="shared" si="21"/>
        <v/>
      </c>
    </row>
    <row r="168" spans="1:25" x14ac:dyDescent="0.4">
      <c r="A168" s="16"/>
      <c r="B168" t="str">
        <f t="shared" si="17"/>
        <v/>
      </c>
      <c r="C168" t="str">
        <f>IF(UserInput!B167=0,"",UserInput!B167)</f>
        <v/>
      </c>
      <c r="D168" t="str">
        <f t="shared" si="18"/>
        <v/>
      </c>
      <c r="E168" t="str">
        <f>IF(UserInput!B167=0,"",UserInput!B167)</f>
        <v/>
      </c>
      <c r="G168" s="16"/>
      <c r="H168" s="15" t="str">
        <f>IF(UserInput!D167="","",IF(UserInput!D167=UserInput!D166,"","SET "&amp;UserInput!D167&amp;"TIMESreport '"&amp;UserInput!D167&amp;" TIMESreport'/ "))</f>
        <v/>
      </c>
      <c r="I168" s="15" t="str">
        <f>IF(UserInput!B167=0,"",UserInput!B167)</f>
        <v/>
      </c>
      <c r="J168" s="15" t="str">
        <f>IF(UserInput!C167=0,"","'"&amp;UserInput!C167&amp;"'")</f>
        <v/>
      </c>
      <c r="K168" s="15" t="str">
        <f>IF(I168="","",IF(UserInput!D167=UserInput!D168,"","/ ;"))</f>
        <v/>
      </c>
      <c r="M168" t="str">
        <f t="shared" si="22"/>
        <v/>
      </c>
      <c r="N168" s="13" t="str">
        <f t="shared" si="19"/>
        <v xml:space="preserve"> </v>
      </c>
      <c r="O168" t="str">
        <f t="shared" si="20"/>
        <v/>
      </c>
      <c r="Q168" s="16"/>
      <c r="R168" s="15" t="str">
        <f>IF(UserInput!H167=0,"",IF(UserInput!H167=UserInput!H166,"","SET "&amp;UserInput!H167&amp;"TIMESreport '"&amp;UserInput!H167&amp;" TIMESreport'/ "))</f>
        <v/>
      </c>
      <c r="S168" s="15" t="str">
        <f>IF(UserInput!F167=0,"",UserInput!F167)</f>
        <v/>
      </c>
      <c r="T168" s="15" t="str">
        <f>IF(UserInput!G167=0,"","'"&amp;UserInput!G167&amp;"'")</f>
        <v/>
      </c>
      <c r="U168" s="15" t="str">
        <f>IF(S168="","",IF(UserInput!H167=UserInput!H168,"","/ ;"))</f>
        <v/>
      </c>
      <c r="W168" t="str">
        <f t="shared" si="23"/>
        <v/>
      </c>
      <c r="X168" t="str">
        <f t="shared" si="16"/>
        <v xml:space="preserve"> </v>
      </c>
      <c r="Y168" t="str">
        <f t="shared" si="21"/>
        <v/>
      </c>
    </row>
    <row r="169" spans="1:25" x14ac:dyDescent="0.4">
      <c r="A169" s="16"/>
      <c r="B169" t="str">
        <f t="shared" si="17"/>
        <v/>
      </c>
      <c r="C169" t="str">
        <f>IF(UserInput!B168=0,"",UserInput!B168)</f>
        <v/>
      </c>
      <c r="D169" t="str">
        <f t="shared" si="18"/>
        <v/>
      </c>
      <c r="E169" t="str">
        <f>IF(UserInput!B168=0,"",UserInput!B168)</f>
        <v/>
      </c>
      <c r="G169" s="16"/>
      <c r="H169" s="15" t="str">
        <f>IF(UserInput!D168="","",IF(UserInput!D168=UserInput!D167,"","SET "&amp;UserInput!D168&amp;"TIMESreport '"&amp;UserInput!D168&amp;" TIMESreport'/ "))</f>
        <v/>
      </c>
      <c r="I169" s="15" t="str">
        <f>IF(UserInput!B168=0,"",UserInput!B168)</f>
        <v/>
      </c>
      <c r="J169" s="15" t="str">
        <f>IF(UserInput!C168=0,"","'"&amp;UserInput!C168&amp;"'")</f>
        <v/>
      </c>
      <c r="K169" s="15" t="str">
        <f>IF(I169="","",IF(UserInput!D168=UserInput!D169,"","/ ;"))</f>
        <v/>
      </c>
      <c r="M169" t="str">
        <f t="shared" si="22"/>
        <v/>
      </c>
      <c r="N169" s="13" t="str">
        <f t="shared" si="19"/>
        <v xml:space="preserve"> </v>
      </c>
      <c r="O169" t="str">
        <f t="shared" si="20"/>
        <v/>
      </c>
      <c r="Q169" s="16"/>
      <c r="R169" s="15" t="str">
        <f>IF(UserInput!H168=0,"",IF(UserInput!H168=UserInput!H167,"","SET "&amp;UserInput!H168&amp;"TIMESreport '"&amp;UserInput!H168&amp;" TIMESreport'/ "))</f>
        <v/>
      </c>
      <c r="S169" s="15" t="str">
        <f>IF(UserInput!F168=0,"",UserInput!F168)</f>
        <v/>
      </c>
      <c r="T169" s="15" t="str">
        <f>IF(UserInput!G168=0,"","'"&amp;UserInput!G168&amp;"'")</f>
        <v/>
      </c>
      <c r="U169" s="15" t="str">
        <f>IF(S169="","",IF(UserInput!H168=UserInput!H169,"","/ ;"))</f>
        <v/>
      </c>
      <c r="W169" t="str">
        <f t="shared" si="23"/>
        <v/>
      </c>
      <c r="X169" t="str">
        <f t="shared" si="16"/>
        <v xml:space="preserve"> </v>
      </c>
      <c r="Y169" t="str">
        <f t="shared" si="21"/>
        <v/>
      </c>
    </row>
    <row r="170" spans="1:25" x14ac:dyDescent="0.4">
      <c r="A170" s="16"/>
      <c r="B170" t="str">
        <f t="shared" si="17"/>
        <v/>
      </c>
      <c r="C170" t="str">
        <f>IF(UserInput!B169=0,"",UserInput!B169)</f>
        <v/>
      </c>
      <c r="D170" t="str">
        <f t="shared" si="18"/>
        <v/>
      </c>
      <c r="E170" t="str">
        <f>IF(UserInput!B169=0,"",UserInput!B169)</f>
        <v/>
      </c>
      <c r="G170" s="16"/>
      <c r="H170" s="15" t="str">
        <f>IF(UserInput!D169="","",IF(UserInput!D169=UserInput!D168,"","SET "&amp;UserInput!D169&amp;"TIMESreport '"&amp;UserInput!D169&amp;" TIMESreport'/ "))</f>
        <v/>
      </c>
      <c r="I170" s="15" t="str">
        <f>IF(UserInput!B169=0,"",UserInput!B169)</f>
        <v/>
      </c>
      <c r="J170" s="15" t="str">
        <f>IF(UserInput!C169=0,"","'"&amp;UserInput!C169&amp;"'")</f>
        <v/>
      </c>
      <c r="K170" s="15" t="str">
        <f>IF(I170="","",IF(UserInput!D169=UserInput!D170,"","/ ;"))</f>
        <v/>
      </c>
      <c r="M170" t="str">
        <f t="shared" si="22"/>
        <v/>
      </c>
      <c r="N170" s="13" t="str">
        <f t="shared" si="19"/>
        <v xml:space="preserve"> </v>
      </c>
      <c r="O170" t="str">
        <f t="shared" si="20"/>
        <v/>
      </c>
      <c r="Q170" s="16"/>
      <c r="R170" s="15" t="str">
        <f>IF(UserInput!H169=0,"",IF(UserInput!H169=UserInput!H168,"","SET "&amp;UserInput!H169&amp;"TIMESreport '"&amp;UserInput!H169&amp;" TIMESreport'/ "))</f>
        <v/>
      </c>
      <c r="S170" s="15" t="str">
        <f>IF(UserInput!F169=0,"",UserInput!F169)</f>
        <v/>
      </c>
      <c r="T170" s="15" t="str">
        <f>IF(UserInput!G169=0,"","'"&amp;UserInput!G169&amp;"'")</f>
        <v/>
      </c>
      <c r="U170" s="15" t="str">
        <f>IF(S170="","",IF(UserInput!H169=UserInput!H170,"","/ ;"))</f>
        <v/>
      </c>
      <c r="W170" t="str">
        <f t="shared" si="23"/>
        <v/>
      </c>
      <c r="X170" t="str">
        <f t="shared" si="16"/>
        <v xml:space="preserve"> </v>
      </c>
      <c r="Y170" t="str">
        <f t="shared" si="21"/>
        <v/>
      </c>
    </row>
    <row r="171" spans="1:25" x14ac:dyDescent="0.4">
      <c r="A171" s="16"/>
      <c r="B171" t="str">
        <f t="shared" si="17"/>
        <v/>
      </c>
      <c r="C171" t="str">
        <f>IF(UserInput!B170=0,"",UserInput!B170)</f>
        <v/>
      </c>
      <c r="D171" t="str">
        <f t="shared" si="18"/>
        <v/>
      </c>
      <c r="E171" t="str">
        <f>IF(UserInput!B170=0,"",UserInput!B170)</f>
        <v/>
      </c>
      <c r="G171" s="16"/>
      <c r="H171" s="15" t="str">
        <f>IF(UserInput!D170="","",IF(UserInput!D170=UserInput!D169,"","SET "&amp;UserInput!D170&amp;"TIMESreport '"&amp;UserInput!D170&amp;" TIMESreport'/ "))</f>
        <v/>
      </c>
      <c r="I171" s="15" t="str">
        <f>IF(UserInput!B170=0,"",UserInput!B170)</f>
        <v/>
      </c>
      <c r="J171" s="15" t="str">
        <f>IF(UserInput!C170=0,"","'"&amp;UserInput!C170&amp;"'")</f>
        <v/>
      </c>
      <c r="K171" s="15" t="str">
        <f>IF(I171="","",IF(UserInput!D170=UserInput!D171,"","/ ;"))</f>
        <v/>
      </c>
      <c r="M171" t="str">
        <f t="shared" si="22"/>
        <v/>
      </c>
      <c r="N171" s="13" t="str">
        <f t="shared" si="19"/>
        <v xml:space="preserve"> </v>
      </c>
      <c r="O171" t="str">
        <f t="shared" si="20"/>
        <v/>
      </c>
      <c r="Q171" s="16"/>
      <c r="R171" s="15" t="str">
        <f>IF(UserInput!H170=0,"",IF(UserInput!H170=UserInput!H169,"","SET "&amp;UserInput!H170&amp;"TIMESreport '"&amp;UserInput!H170&amp;" TIMESreport'/ "))</f>
        <v/>
      </c>
      <c r="S171" s="15" t="str">
        <f>IF(UserInput!F170=0,"",UserInput!F170)</f>
        <v/>
      </c>
      <c r="T171" s="15" t="str">
        <f>IF(UserInput!G170=0,"","'"&amp;UserInput!G170&amp;"'")</f>
        <v/>
      </c>
      <c r="U171" s="15" t="str">
        <f>IF(S171="","",IF(UserInput!H170=UserInput!H171,"","/ ;"))</f>
        <v/>
      </c>
      <c r="W171" t="str">
        <f t="shared" si="23"/>
        <v/>
      </c>
      <c r="X171" t="str">
        <f t="shared" si="16"/>
        <v xml:space="preserve"> </v>
      </c>
      <c r="Y171" t="str">
        <f t="shared" si="21"/>
        <v/>
      </c>
    </row>
    <row r="172" spans="1:25" x14ac:dyDescent="0.4">
      <c r="A172" s="16"/>
      <c r="B172" t="str">
        <f t="shared" si="17"/>
        <v/>
      </c>
      <c r="C172" t="str">
        <f>IF(UserInput!B171=0,"",UserInput!B171)</f>
        <v/>
      </c>
      <c r="D172" t="str">
        <f t="shared" si="18"/>
        <v/>
      </c>
      <c r="E172" t="str">
        <f>IF(UserInput!B171=0,"",UserInput!B171)</f>
        <v/>
      </c>
      <c r="G172" s="16"/>
      <c r="H172" s="15" t="str">
        <f>IF(UserInput!D171="","",IF(UserInput!D171=UserInput!D170,"","SET "&amp;UserInput!D171&amp;"TIMESreport '"&amp;UserInput!D171&amp;" TIMESreport'/ "))</f>
        <v/>
      </c>
      <c r="I172" s="15" t="str">
        <f>IF(UserInput!B171=0,"",UserInput!B171)</f>
        <v/>
      </c>
      <c r="J172" s="15" t="str">
        <f>IF(UserInput!C171=0,"","'"&amp;UserInput!C171&amp;"'")</f>
        <v/>
      </c>
      <c r="K172" s="15" t="str">
        <f>IF(I172="","",IF(UserInput!D171=UserInput!D172,"","/ ;"))</f>
        <v/>
      </c>
      <c r="M172" t="str">
        <f t="shared" si="22"/>
        <v/>
      </c>
      <c r="N172" s="13" t="str">
        <f t="shared" si="19"/>
        <v xml:space="preserve"> </v>
      </c>
      <c r="O172" t="str">
        <f t="shared" si="20"/>
        <v/>
      </c>
      <c r="Q172" s="16"/>
      <c r="R172" s="15" t="str">
        <f>IF(UserInput!H171=0,"",IF(UserInput!H171=UserInput!H170,"","SET "&amp;UserInput!H171&amp;"TIMESreport '"&amp;UserInput!H171&amp;" TIMESreport'/ "))</f>
        <v/>
      </c>
      <c r="S172" s="15" t="str">
        <f>IF(UserInput!F171=0,"",UserInput!F171)</f>
        <v/>
      </c>
      <c r="T172" s="15" t="str">
        <f>IF(UserInput!G171=0,"","'"&amp;UserInput!G171&amp;"'")</f>
        <v/>
      </c>
      <c r="U172" s="15" t="str">
        <f>IF(S172="","",IF(UserInput!H171=UserInput!H172,"","/ ;"))</f>
        <v/>
      </c>
      <c r="W172" t="str">
        <f t="shared" si="23"/>
        <v/>
      </c>
      <c r="X172" t="str">
        <f t="shared" si="16"/>
        <v xml:space="preserve"> </v>
      </c>
      <c r="Y172" t="str">
        <f t="shared" si="21"/>
        <v/>
      </c>
    </row>
    <row r="173" spans="1:25" x14ac:dyDescent="0.4">
      <c r="A173" s="16"/>
      <c r="B173" t="str">
        <f t="shared" si="17"/>
        <v/>
      </c>
      <c r="C173" t="str">
        <f>IF(UserInput!B172=0,"",UserInput!B172)</f>
        <v/>
      </c>
      <c r="D173" t="str">
        <f t="shared" si="18"/>
        <v/>
      </c>
      <c r="E173" t="str">
        <f>IF(UserInput!B172=0,"",UserInput!B172)</f>
        <v/>
      </c>
      <c r="G173" s="16"/>
      <c r="H173" s="15" t="str">
        <f>IF(UserInput!D172="","",IF(UserInput!D172=UserInput!D171,"","SET "&amp;UserInput!D172&amp;"TIMESreport '"&amp;UserInput!D172&amp;" TIMESreport'/ "))</f>
        <v/>
      </c>
      <c r="I173" s="15" t="str">
        <f>IF(UserInput!B172=0,"",UserInput!B172)</f>
        <v/>
      </c>
      <c r="J173" s="15" t="str">
        <f>IF(UserInput!C172=0,"","'"&amp;UserInput!C172&amp;"'")</f>
        <v/>
      </c>
      <c r="K173" s="15" t="str">
        <f>IF(I173="","",IF(UserInput!D172=UserInput!D173,"","/ ;"))</f>
        <v/>
      </c>
      <c r="M173" t="str">
        <f t="shared" si="22"/>
        <v/>
      </c>
      <c r="N173" s="13" t="str">
        <f t="shared" si="19"/>
        <v xml:space="preserve"> </v>
      </c>
      <c r="O173" t="str">
        <f t="shared" si="20"/>
        <v/>
      </c>
      <c r="Q173" s="16"/>
      <c r="R173" s="15" t="str">
        <f>IF(UserInput!H172=0,"",IF(UserInput!H172=UserInput!H171,"","SET "&amp;UserInput!H172&amp;"TIMESreport '"&amp;UserInput!H172&amp;" TIMESreport'/ "))</f>
        <v/>
      </c>
      <c r="S173" s="15" t="str">
        <f>IF(UserInput!F172=0,"",UserInput!F172)</f>
        <v/>
      </c>
      <c r="T173" s="15" t="str">
        <f>IF(UserInput!G172=0,"","'"&amp;UserInput!G172&amp;"'")</f>
        <v/>
      </c>
      <c r="U173" s="15" t="str">
        <f>IF(S173="","",IF(UserInput!H172=UserInput!H173,"","/ ;"))</f>
        <v/>
      </c>
      <c r="W173" t="str">
        <f t="shared" si="23"/>
        <v/>
      </c>
      <c r="X173" t="str">
        <f t="shared" si="16"/>
        <v xml:space="preserve"> </v>
      </c>
      <c r="Y173" t="str">
        <f t="shared" si="21"/>
        <v/>
      </c>
    </row>
    <row r="174" spans="1:25" x14ac:dyDescent="0.4">
      <c r="A174" s="16"/>
      <c r="B174" t="str">
        <f t="shared" si="17"/>
        <v/>
      </c>
      <c r="C174" t="str">
        <f>IF(UserInput!B173=0,"",UserInput!B173)</f>
        <v/>
      </c>
      <c r="D174" t="str">
        <f t="shared" si="18"/>
        <v/>
      </c>
      <c r="E174" t="str">
        <f>IF(UserInput!B173=0,"",UserInput!B173)</f>
        <v/>
      </c>
      <c r="G174" s="16"/>
      <c r="H174" s="15" t="str">
        <f>IF(UserInput!D173="","",IF(UserInput!D173=UserInput!D172,"","SET "&amp;UserInput!D173&amp;"TIMESreport '"&amp;UserInput!D173&amp;" TIMESreport'/ "))</f>
        <v/>
      </c>
      <c r="I174" s="15" t="str">
        <f>IF(UserInput!B173=0,"",UserInput!B173)</f>
        <v/>
      </c>
      <c r="J174" s="15" t="str">
        <f>IF(UserInput!C173=0,"","'"&amp;UserInput!C173&amp;"'")</f>
        <v/>
      </c>
      <c r="K174" s="15" t="str">
        <f>IF(I174="","",IF(UserInput!D173=UserInput!D174,"","/ ;"))</f>
        <v/>
      </c>
      <c r="M174" t="str">
        <f t="shared" si="22"/>
        <v/>
      </c>
      <c r="N174" s="13" t="str">
        <f t="shared" si="19"/>
        <v xml:space="preserve"> </v>
      </c>
      <c r="O174" t="str">
        <f t="shared" si="20"/>
        <v/>
      </c>
      <c r="Q174" s="16"/>
      <c r="R174" s="15" t="str">
        <f>IF(UserInput!H173=0,"",IF(UserInput!H173=UserInput!H172,"","SET "&amp;UserInput!H173&amp;"TIMESreport '"&amp;UserInput!H173&amp;" TIMESreport'/ "))</f>
        <v/>
      </c>
      <c r="S174" s="15" t="str">
        <f>IF(UserInput!F173=0,"",UserInput!F173)</f>
        <v/>
      </c>
      <c r="T174" s="15" t="str">
        <f>IF(UserInput!G173=0,"","'"&amp;UserInput!G173&amp;"'")</f>
        <v/>
      </c>
      <c r="U174" s="15" t="str">
        <f>IF(S174="","",IF(UserInput!H173=UserInput!H174,"","/ ;"))</f>
        <v/>
      </c>
      <c r="W174" t="str">
        <f t="shared" si="23"/>
        <v/>
      </c>
      <c r="X174" t="str">
        <f t="shared" si="16"/>
        <v xml:space="preserve"> </v>
      </c>
      <c r="Y174" t="str">
        <f t="shared" si="21"/>
        <v/>
      </c>
    </row>
    <row r="175" spans="1:25" x14ac:dyDescent="0.4">
      <c r="A175" s="16"/>
      <c r="B175" t="str">
        <f t="shared" si="17"/>
        <v/>
      </c>
      <c r="C175" t="str">
        <f>IF(UserInput!B174=0,"",UserInput!B174)</f>
        <v/>
      </c>
      <c r="D175" t="str">
        <f t="shared" si="18"/>
        <v/>
      </c>
      <c r="E175" t="str">
        <f>IF(UserInput!B174=0,"",UserInput!B174)</f>
        <v/>
      </c>
      <c r="G175" s="16"/>
      <c r="H175" s="15" t="str">
        <f>IF(UserInput!D174="","",IF(UserInput!D174=UserInput!D173,"","SET "&amp;UserInput!D174&amp;"TIMESreport '"&amp;UserInput!D174&amp;" TIMESreport'/ "))</f>
        <v/>
      </c>
      <c r="I175" s="15" t="str">
        <f>IF(UserInput!B174=0,"",UserInput!B174)</f>
        <v/>
      </c>
      <c r="J175" s="15" t="str">
        <f>IF(UserInput!C174=0,"","'"&amp;UserInput!C174&amp;"'")</f>
        <v/>
      </c>
      <c r="K175" s="15" t="str">
        <f>IF(I175="","",IF(UserInput!D174=UserInput!D175,"","/ ;"))</f>
        <v/>
      </c>
      <c r="M175" t="str">
        <f t="shared" si="22"/>
        <v/>
      </c>
      <c r="N175" s="13" t="str">
        <f t="shared" si="19"/>
        <v xml:space="preserve"> </v>
      </c>
      <c r="O175" t="str">
        <f t="shared" si="20"/>
        <v/>
      </c>
      <c r="Q175" s="16"/>
      <c r="R175" s="15" t="str">
        <f>IF(UserInput!H174=0,"",IF(UserInput!H174=UserInput!H173,"","SET "&amp;UserInput!H174&amp;"TIMESreport '"&amp;UserInput!H174&amp;" TIMESreport'/ "))</f>
        <v/>
      </c>
      <c r="S175" s="15" t="str">
        <f>IF(UserInput!F174=0,"",UserInput!F174)</f>
        <v/>
      </c>
      <c r="T175" s="15" t="str">
        <f>IF(UserInput!G174=0,"","'"&amp;UserInput!G174&amp;"'")</f>
        <v/>
      </c>
      <c r="U175" s="15" t="str">
        <f>IF(S175="","",IF(UserInput!H174=UserInput!H175,"","/ ;"))</f>
        <v/>
      </c>
      <c r="W175" t="str">
        <f t="shared" si="23"/>
        <v/>
      </c>
      <c r="X175" t="str">
        <f t="shared" si="16"/>
        <v xml:space="preserve"> </v>
      </c>
      <c r="Y175" t="str">
        <f t="shared" si="21"/>
        <v/>
      </c>
    </row>
    <row r="176" spans="1:25" x14ac:dyDescent="0.4">
      <c r="A176" s="16"/>
      <c r="B176" t="str">
        <f t="shared" si="17"/>
        <v/>
      </c>
      <c r="C176" t="str">
        <f>IF(UserInput!B175=0,"",UserInput!B175)</f>
        <v/>
      </c>
      <c r="D176" t="str">
        <f t="shared" si="18"/>
        <v/>
      </c>
      <c r="E176" t="str">
        <f>IF(UserInput!B175=0,"",UserInput!B175)</f>
        <v/>
      </c>
      <c r="G176" s="16"/>
      <c r="H176" s="15" t="str">
        <f>IF(UserInput!D175="","",IF(UserInput!D175=UserInput!D174,"","SET "&amp;UserInput!D175&amp;"TIMESreport '"&amp;UserInput!D175&amp;" TIMESreport'/ "))</f>
        <v/>
      </c>
      <c r="I176" s="15" t="str">
        <f>IF(UserInput!B175=0,"",UserInput!B175)</f>
        <v/>
      </c>
      <c r="J176" s="15" t="str">
        <f>IF(UserInput!C175=0,"","'"&amp;UserInput!C175&amp;"'")</f>
        <v/>
      </c>
      <c r="K176" s="15" t="str">
        <f>IF(I176="","",IF(UserInput!D175=UserInput!D176,"","/ ;"))</f>
        <v/>
      </c>
      <c r="M176" t="str">
        <f t="shared" si="22"/>
        <v/>
      </c>
      <c r="N176" s="13" t="str">
        <f t="shared" si="19"/>
        <v xml:space="preserve"> </v>
      </c>
      <c r="O176" t="str">
        <f t="shared" si="20"/>
        <v/>
      </c>
      <c r="Q176" s="16"/>
      <c r="R176" s="15" t="str">
        <f>IF(UserInput!H175=0,"",IF(UserInput!H175=UserInput!H174,"","SET "&amp;UserInput!H175&amp;"TIMESreport '"&amp;UserInput!H175&amp;" TIMESreport'/ "))</f>
        <v/>
      </c>
      <c r="S176" s="15" t="str">
        <f>IF(UserInput!F175=0,"",UserInput!F175)</f>
        <v/>
      </c>
      <c r="T176" s="15" t="str">
        <f>IF(UserInput!G175=0,"","'"&amp;UserInput!G175&amp;"'")</f>
        <v/>
      </c>
      <c r="U176" s="15" t="str">
        <f>IF(S176="","",IF(UserInput!H175=UserInput!H176,"","/ ;"))</f>
        <v/>
      </c>
      <c r="W176" t="str">
        <f t="shared" si="23"/>
        <v/>
      </c>
      <c r="X176" t="str">
        <f t="shared" si="16"/>
        <v xml:space="preserve"> </v>
      </c>
      <c r="Y176" t="str">
        <f t="shared" si="21"/>
        <v/>
      </c>
    </row>
    <row r="177" spans="1:25" x14ac:dyDescent="0.4">
      <c r="A177" s="16"/>
      <c r="B177" t="str">
        <f t="shared" si="17"/>
        <v/>
      </c>
      <c r="C177" t="str">
        <f>IF(UserInput!B176=0,"",UserInput!B176)</f>
        <v/>
      </c>
      <c r="D177" t="str">
        <f t="shared" si="18"/>
        <v/>
      </c>
      <c r="E177" t="str">
        <f>IF(UserInput!B176=0,"",UserInput!B176)</f>
        <v/>
      </c>
      <c r="G177" s="16"/>
      <c r="H177" s="15" t="str">
        <f>IF(UserInput!D176="","",IF(UserInput!D176=UserInput!D175,"","SET "&amp;UserInput!D176&amp;"TIMESreport '"&amp;UserInput!D176&amp;" TIMESreport'/ "))</f>
        <v/>
      </c>
      <c r="I177" s="15" t="str">
        <f>IF(UserInput!B176=0,"",UserInput!B176)</f>
        <v/>
      </c>
      <c r="J177" s="15" t="str">
        <f>IF(UserInput!C176=0,"","'"&amp;UserInput!C176&amp;"'")</f>
        <v/>
      </c>
      <c r="K177" s="15" t="str">
        <f>IF(I177="","",IF(UserInput!D176=UserInput!D177,"","/ ;"))</f>
        <v/>
      </c>
      <c r="M177" t="str">
        <f t="shared" si="22"/>
        <v/>
      </c>
      <c r="N177" s="13" t="str">
        <f t="shared" si="19"/>
        <v xml:space="preserve"> </v>
      </c>
      <c r="O177" t="str">
        <f t="shared" si="20"/>
        <v/>
      </c>
      <c r="Q177" s="16"/>
      <c r="R177" s="15" t="str">
        <f>IF(UserInput!H176=0,"",IF(UserInput!H176=UserInput!H175,"","SET "&amp;UserInput!H176&amp;"TIMESreport '"&amp;UserInput!H176&amp;" TIMESreport'/ "))</f>
        <v/>
      </c>
      <c r="S177" s="15" t="str">
        <f>IF(UserInput!F176=0,"",UserInput!F176)</f>
        <v/>
      </c>
      <c r="T177" s="15" t="str">
        <f>IF(UserInput!G176=0,"","'"&amp;UserInput!G176&amp;"'")</f>
        <v/>
      </c>
      <c r="U177" s="15" t="str">
        <f>IF(S177="","",IF(UserInput!H176=UserInput!H177,"","/ ;"))</f>
        <v/>
      </c>
      <c r="W177" t="str">
        <f t="shared" si="23"/>
        <v/>
      </c>
      <c r="X177" t="str">
        <f t="shared" si="16"/>
        <v xml:space="preserve"> </v>
      </c>
      <c r="Y177" t="str">
        <f t="shared" si="21"/>
        <v/>
      </c>
    </row>
    <row r="178" spans="1:25" x14ac:dyDescent="0.4">
      <c r="A178" s="16"/>
      <c r="B178" t="str">
        <f t="shared" si="17"/>
        <v/>
      </c>
      <c r="C178" t="str">
        <f>IF(UserInput!B177=0,"",UserInput!B177)</f>
        <v/>
      </c>
      <c r="D178" t="str">
        <f t="shared" si="18"/>
        <v/>
      </c>
      <c r="E178" t="str">
        <f>IF(UserInput!B177=0,"",UserInput!B177)</f>
        <v/>
      </c>
      <c r="G178" s="16"/>
      <c r="H178" s="15" t="str">
        <f>IF(UserInput!D177="","",IF(UserInput!D177=UserInput!D176,"","SET "&amp;UserInput!D177&amp;"TIMESreport '"&amp;UserInput!D177&amp;" TIMESreport'/ "))</f>
        <v/>
      </c>
      <c r="I178" s="15" t="str">
        <f>IF(UserInput!B177=0,"",UserInput!B177)</f>
        <v/>
      </c>
      <c r="J178" s="15" t="str">
        <f>IF(UserInput!C177=0,"","'"&amp;UserInput!C177&amp;"'")</f>
        <v/>
      </c>
      <c r="K178" s="15" t="str">
        <f>IF(I178="","",IF(UserInput!D177=UserInput!D178,"","/ ;"))</f>
        <v/>
      </c>
      <c r="M178" t="str">
        <f t="shared" si="22"/>
        <v/>
      </c>
      <c r="N178" s="13" t="str">
        <f t="shared" si="19"/>
        <v xml:space="preserve"> </v>
      </c>
      <c r="O178" t="str">
        <f t="shared" si="20"/>
        <v/>
      </c>
      <c r="Q178" s="16"/>
      <c r="R178" s="15" t="str">
        <f>IF(UserInput!H177=0,"",IF(UserInput!H177=UserInput!H176,"","SET "&amp;UserInput!H177&amp;"TIMESreport '"&amp;UserInput!H177&amp;" TIMESreport'/ "))</f>
        <v/>
      </c>
      <c r="S178" s="15" t="str">
        <f>IF(UserInput!F177=0,"",UserInput!F177)</f>
        <v/>
      </c>
      <c r="T178" s="15" t="str">
        <f>IF(UserInput!G177=0,"","'"&amp;UserInput!G177&amp;"'")</f>
        <v/>
      </c>
      <c r="U178" s="15" t="str">
        <f>IF(S178="","",IF(UserInput!H177=UserInput!H178,"","/ ;"))</f>
        <v/>
      </c>
      <c r="W178" t="str">
        <f t="shared" si="23"/>
        <v/>
      </c>
      <c r="X178" t="str">
        <f t="shared" si="16"/>
        <v xml:space="preserve"> </v>
      </c>
      <c r="Y178" t="str">
        <f t="shared" si="21"/>
        <v/>
      </c>
    </row>
    <row r="179" spans="1:25" x14ac:dyDescent="0.4">
      <c r="A179" s="16"/>
      <c r="B179" t="str">
        <f t="shared" si="17"/>
        <v/>
      </c>
      <c r="C179" t="str">
        <f>IF(UserInput!B178=0,"",UserInput!B178)</f>
        <v/>
      </c>
      <c r="D179" t="str">
        <f t="shared" si="18"/>
        <v/>
      </c>
      <c r="E179" t="str">
        <f>IF(UserInput!B178=0,"",UserInput!B178)</f>
        <v/>
      </c>
      <c r="G179" s="16"/>
      <c r="H179" s="15" t="str">
        <f>IF(UserInput!D178="","",IF(UserInput!D178=UserInput!D177,"","SET "&amp;UserInput!D178&amp;"TIMESreport '"&amp;UserInput!D178&amp;" TIMESreport'/ "))</f>
        <v/>
      </c>
      <c r="I179" s="15" t="str">
        <f>IF(UserInput!B178=0,"",UserInput!B178)</f>
        <v/>
      </c>
      <c r="J179" s="15" t="str">
        <f>IF(UserInput!C178=0,"","'"&amp;UserInput!C178&amp;"'")</f>
        <v/>
      </c>
      <c r="K179" s="15" t="str">
        <f>IF(I179="","",IF(UserInput!D178=UserInput!D179,"","/ ;"))</f>
        <v/>
      </c>
      <c r="M179" t="str">
        <f t="shared" si="22"/>
        <v/>
      </c>
      <c r="N179" s="13" t="str">
        <f t="shared" si="19"/>
        <v xml:space="preserve"> </v>
      </c>
      <c r="O179" t="str">
        <f t="shared" si="20"/>
        <v/>
      </c>
      <c r="Q179" s="16"/>
      <c r="R179" s="15" t="str">
        <f>IF(UserInput!H178=0,"",IF(UserInput!H178=UserInput!H177,"","SET "&amp;UserInput!H178&amp;"TIMESreport '"&amp;UserInput!H178&amp;" TIMESreport'/ "))</f>
        <v/>
      </c>
      <c r="S179" s="15" t="str">
        <f>IF(UserInput!F178=0,"",UserInput!F178)</f>
        <v/>
      </c>
      <c r="T179" s="15" t="str">
        <f>IF(UserInput!G178=0,"","'"&amp;UserInput!G178&amp;"'")</f>
        <v/>
      </c>
      <c r="U179" s="15" t="str">
        <f>IF(S179="","",IF(UserInput!H178=UserInput!H179,"","/ ;"))</f>
        <v/>
      </c>
      <c r="W179" t="str">
        <f t="shared" si="23"/>
        <v/>
      </c>
      <c r="X179" t="str">
        <f t="shared" si="16"/>
        <v xml:space="preserve"> </v>
      </c>
      <c r="Y179" t="str">
        <f t="shared" si="21"/>
        <v/>
      </c>
    </row>
    <row r="180" spans="1:25" x14ac:dyDescent="0.4">
      <c r="A180" s="16"/>
      <c r="B180" t="str">
        <f t="shared" si="17"/>
        <v/>
      </c>
      <c r="C180" t="str">
        <f>IF(UserInput!B179=0,"",UserInput!B179)</f>
        <v/>
      </c>
      <c r="D180" t="str">
        <f t="shared" si="18"/>
        <v/>
      </c>
      <c r="E180" t="str">
        <f>IF(UserInput!B179=0,"",UserInput!B179)</f>
        <v/>
      </c>
      <c r="G180" s="16"/>
      <c r="H180" s="15" t="str">
        <f>IF(UserInput!D179="","",IF(UserInput!D179=UserInput!D178,"","SET "&amp;UserInput!D179&amp;"TIMESreport '"&amp;UserInput!D179&amp;" TIMESreport'/ "))</f>
        <v/>
      </c>
      <c r="I180" s="15" t="str">
        <f>IF(UserInput!B179=0,"",UserInput!B179)</f>
        <v/>
      </c>
      <c r="J180" s="15" t="str">
        <f>IF(UserInput!C179=0,"","'"&amp;UserInput!C179&amp;"'")</f>
        <v/>
      </c>
      <c r="K180" s="15" t="str">
        <f>IF(I180="","",IF(UserInput!D179=UserInput!D180,"","/ ;"))</f>
        <v/>
      </c>
      <c r="M180" t="str">
        <f t="shared" si="22"/>
        <v/>
      </c>
      <c r="N180" s="13" t="str">
        <f t="shared" si="19"/>
        <v xml:space="preserve"> </v>
      </c>
      <c r="O180" t="str">
        <f t="shared" si="20"/>
        <v/>
      </c>
      <c r="Q180" s="16"/>
      <c r="R180" s="15" t="str">
        <f>IF(UserInput!H179=0,"",IF(UserInput!H179=UserInput!H178,"","SET "&amp;UserInput!H179&amp;"TIMESreport '"&amp;UserInput!H179&amp;" TIMESreport'/ "))</f>
        <v/>
      </c>
      <c r="S180" s="15" t="str">
        <f>IF(UserInput!F179=0,"",UserInput!F179)</f>
        <v/>
      </c>
      <c r="T180" s="15" t="str">
        <f>IF(UserInput!G179=0,"","'"&amp;UserInput!G179&amp;"'")</f>
        <v/>
      </c>
      <c r="U180" s="15" t="str">
        <f>IF(S180="","",IF(UserInput!H179=UserInput!H180,"","/ ;"))</f>
        <v/>
      </c>
      <c r="W180" t="str">
        <f t="shared" si="23"/>
        <v/>
      </c>
      <c r="X180" t="str">
        <f t="shared" si="16"/>
        <v xml:space="preserve"> </v>
      </c>
      <c r="Y180" t="str">
        <f t="shared" si="21"/>
        <v/>
      </c>
    </row>
    <row r="181" spans="1:25" x14ac:dyDescent="0.4">
      <c r="A181" s="16"/>
      <c r="B181" t="str">
        <f t="shared" si="17"/>
        <v/>
      </c>
      <c r="C181" t="str">
        <f>IF(UserInput!B180=0,"",UserInput!B180)</f>
        <v/>
      </c>
      <c r="D181" t="str">
        <f t="shared" si="18"/>
        <v/>
      </c>
      <c r="E181" t="str">
        <f>IF(UserInput!B180=0,"",UserInput!B180)</f>
        <v/>
      </c>
      <c r="G181" s="16"/>
      <c r="H181" s="15" t="str">
        <f>IF(UserInput!D180="","",IF(UserInput!D180=UserInput!D179,"","SET "&amp;UserInput!D180&amp;"TIMESreport '"&amp;UserInput!D180&amp;" TIMESreport'/ "))</f>
        <v/>
      </c>
      <c r="I181" s="15" t="str">
        <f>IF(UserInput!B180=0,"",UserInput!B180)</f>
        <v/>
      </c>
      <c r="J181" s="15" t="str">
        <f>IF(UserInput!C180=0,"","'"&amp;UserInput!C180&amp;"'")</f>
        <v/>
      </c>
      <c r="K181" s="15" t="str">
        <f>IF(I181="","",IF(UserInput!D180=UserInput!D181,"","/ ;"))</f>
        <v/>
      </c>
      <c r="M181" t="str">
        <f t="shared" si="22"/>
        <v/>
      </c>
      <c r="N181" s="13" t="str">
        <f t="shared" si="19"/>
        <v xml:space="preserve"> </v>
      </c>
      <c r="O181" t="str">
        <f t="shared" si="20"/>
        <v/>
      </c>
      <c r="Q181" s="16"/>
      <c r="R181" s="15" t="str">
        <f>IF(UserInput!H180=0,"",IF(UserInput!H180=UserInput!H179,"","SET "&amp;UserInput!H180&amp;"TIMESreport '"&amp;UserInput!H180&amp;" TIMESreport'/ "))</f>
        <v/>
      </c>
      <c r="S181" s="15" t="str">
        <f>IF(UserInput!F180=0,"",UserInput!F180)</f>
        <v/>
      </c>
      <c r="T181" s="15" t="str">
        <f>IF(UserInput!G180=0,"","'"&amp;UserInput!G180&amp;"'")</f>
        <v/>
      </c>
      <c r="U181" s="15" t="str">
        <f>IF(S181="","",IF(UserInput!H180=UserInput!H181,"","/ ;"))</f>
        <v/>
      </c>
      <c r="W181" t="str">
        <f t="shared" si="23"/>
        <v/>
      </c>
      <c r="X181" t="str">
        <f t="shared" si="16"/>
        <v xml:space="preserve"> </v>
      </c>
      <c r="Y181" t="str">
        <f t="shared" si="21"/>
        <v/>
      </c>
    </row>
    <row r="182" spans="1:25" x14ac:dyDescent="0.4">
      <c r="A182" s="16"/>
      <c r="B182" t="str">
        <f t="shared" si="17"/>
        <v/>
      </c>
      <c r="C182" t="str">
        <f>IF(UserInput!B181=0,"",UserInput!B181)</f>
        <v/>
      </c>
      <c r="D182" t="str">
        <f t="shared" si="18"/>
        <v/>
      </c>
      <c r="E182" t="str">
        <f>IF(UserInput!B181=0,"",UserInput!B181)</f>
        <v/>
      </c>
      <c r="G182" s="16"/>
      <c r="H182" s="15" t="str">
        <f>IF(UserInput!D181="","",IF(UserInput!D181=UserInput!D180,"","SET "&amp;UserInput!D181&amp;"TIMESreport '"&amp;UserInput!D181&amp;" TIMESreport'/ "))</f>
        <v/>
      </c>
      <c r="I182" s="15" t="str">
        <f>IF(UserInput!B181=0,"",UserInput!B181)</f>
        <v/>
      </c>
      <c r="J182" s="15" t="str">
        <f>IF(UserInput!C181=0,"","'"&amp;UserInput!C181&amp;"'")</f>
        <v/>
      </c>
      <c r="K182" s="15" t="str">
        <f>IF(I182="","",IF(UserInput!D181=UserInput!D182,"","/ ;"))</f>
        <v/>
      </c>
      <c r="M182" t="str">
        <f t="shared" si="22"/>
        <v/>
      </c>
      <c r="N182" s="13" t="str">
        <f t="shared" si="19"/>
        <v xml:space="preserve"> </v>
      </c>
      <c r="O182" t="str">
        <f t="shared" si="20"/>
        <v/>
      </c>
      <c r="Q182" s="16"/>
      <c r="R182" s="15" t="str">
        <f>IF(UserInput!H181=0,"",IF(UserInput!H181=UserInput!H180,"","SET "&amp;UserInput!H181&amp;"TIMESreport '"&amp;UserInput!H181&amp;" TIMESreport'/ "))</f>
        <v/>
      </c>
      <c r="S182" s="15" t="str">
        <f>IF(UserInput!F181=0,"",UserInput!F181)</f>
        <v/>
      </c>
      <c r="T182" s="15" t="str">
        <f>IF(UserInput!G181=0,"","'"&amp;UserInput!G181&amp;"'")</f>
        <v/>
      </c>
      <c r="U182" s="15" t="str">
        <f>IF(S182="","",IF(UserInput!H181=UserInput!H182,"","/ ;"))</f>
        <v/>
      </c>
      <c r="W182" t="str">
        <f t="shared" si="23"/>
        <v/>
      </c>
      <c r="X182" t="str">
        <f t="shared" si="16"/>
        <v xml:space="preserve"> </v>
      </c>
      <c r="Y182" t="str">
        <f t="shared" si="21"/>
        <v/>
      </c>
    </row>
    <row r="183" spans="1:25" x14ac:dyDescent="0.4">
      <c r="A183" s="16"/>
      <c r="B183" t="str">
        <f t="shared" si="17"/>
        <v/>
      </c>
      <c r="C183" t="str">
        <f>IF(UserInput!B182=0,"",UserInput!B182)</f>
        <v/>
      </c>
      <c r="D183" t="str">
        <f t="shared" si="18"/>
        <v/>
      </c>
      <c r="E183" t="str">
        <f>IF(UserInput!B182=0,"",UserInput!B182)</f>
        <v/>
      </c>
      <c r="G183" s="16"/>
      <c r="H183" s="15" t="str">
        <f>IF(UserInput!D182="","",IF(UserInput!D182=UserInput!D181,"","SET "&amp;UserInput!D182&amp;"TIMESreport '"&amp;UserInput!D182&amp;" TIMESreport'/ "))</f>
        <v/>
      </c>
      <c r="I183" s="15" t="str">
        <f>IF(UserInput!B182=0,"",UserInput!B182)</f>
        <v/>
      </c>
      <c r="J183" s="15" t="str">
        <f>IF(UserInput!C182=0,"","'"&amp;UserInput!C182&amp;"'")</f>
        <v/>
      </c>
      <c r="K183" s="15" t="str">
        <f>IF(I183="","",IF(UserInput!D182=UserInput!D183,"","/ ;"))</f>
        <v/>
      </c>
      <c r="M183" t="str">
        <f t="shared" si="22"/>
        <v/>
      </c>
      <c r="N183" s="13" t="str">
        <f t="shared" si="19"/>
        <v xml:space="preserve"> </v>
      </c>
      <c r="O183" t="str">
        <f t="shared" si="20"/>
        <v/>
      </c>
      <c r="Q183" s="16"/>
      <c r="R183" s="15" t="str">
        <f>IF(UserInput!H182=0,"",IF(UserInput!H182=UserInput!H181,"","SET "&amp;UserInput!H182&amp;"TIMESreport '"&amp;UserInput!H182&amp;" TIMESreport'/ "))</f>
        <v/>
      </c>
      <c r="S183" s="15" t="str">
        <f>IF(UserInput!F182=0,"",UserInput!F182)</f>
        <v/>
      </c>
      <c r="T183" s="15" t="str">
        <f>IF(UserInput!G182=0,"","'"&amp;UserInput!G182&amp;"'")</f>
        <v/>
      </c>
      <c r="U183" s="15" t="str">
        <f>IF(S183="","",IF(UserInput!H182=UserInput!H183,"","/ ;"))</f>
        <v/>
      </c>
      <c r="W183" t="str">
        <f t="shared" si="23"/>
        <v/>
      </c>
      <c r="X183" t="str">
        <f t="shared" si="16"/>
        <v xml:space="preserve"> </v>
      </c>
      <c r="Y183" t="str">
        <f t="shared" si="21"/>
        <v/>
      </c>
    </row>
    <row r="184" spans="1:25" x14ac:dyDescent="0.4">
      <c r="A184" s="16"/>
      <c r="B184" t="str">
        <f t="shared" si="17"/>
        <v/>
      </c>
      <c r="C184" t="str">
        <f>IF(UserInput!B183=0,"",UserInput!B183)</f>
        <v/>
      </c>
      <c r="D184" t="str">
        <f t="shared" si="18"/>
        <v/>
      </c>
      <c r="E184" t="str">
        <f>IF(UserInput!B183=0,"",UserInput!B183)</f>
        <v/>
      </c>
      <c r="G184" s="16"/>
      <c r="H184" s="15" t="str">
        <f>IF(UserInput!D183="","",IF(UserInput!D183=UserInput!D182,"","SET "&amp;UserInput!D183&amp;"TIMESreport '"&amp;UserInput!D183&amp;" TIMESreport'/ "))</f>
        <v/>
      </c>
      <c r="I184" s="15" t="str">
        <f>IF(UserInput!B183=0,"",UserInput!B183)</f>
        <v/>
      </c>
      <c r="J184" s="15" t="str">
        <f>IF(UserInput!C183=0,"","'"&amp;UserInput!C183&amp;"'")</f>
        <v/>
      </c>
      <c r="K184" s="15" t="str">
        <f>IF(I184="","",IF(UserInput!D183=UserInput!D184,"","/ ;"))</f>
        <v/>
      </c>
      <c r="M184" t="str">
        <f t="shared" si="22"/>
        <v/>
      </c>
      <c r="N184" s="13" t="str">
        <f t="shared" si="19"/>
        <v xml:space="preserve"> </v>
      </c>
      <c r="O184" t="str">
        <f t="shared" si="20"/>
        <v/>
      </c>
      <c r="Q184" s="16"/>
      <c r="R184" s="15" t="str">
        <f>IF(UserInput!H183=0,"",IF(UserInput!H183=UserInput!H182,"","SET "&amp;UserInput!H183&amp;"TIMESreport '"&amp;UserInput!H183&amp;" TIMESreport'/ "))</f>
        <v/>
      </c>
      <c r="S184" s="15" t="str">
        <f>IF(UserInput!F183=0,"",UserInput!F183)</f>
        <v/>
      </c>
      <c r="T184" s="15" t="str">
        <f>IF(UserInput!G183=0,"","'"&amp;UserInput!G183&amp;"'")</f>
        <v/>
      </c>
      <c r="U184" s="15" t="str">
        <f>IF(S184="","",IF(UserInput!H183=UserInput!H184,"","/ ;"))</f>
        <v/>
      </c>
      <c r="W184" t="str">
        <f t="shared" si="23"/>
        <v/>
      </c>
      <c r="X184" t="str">
        <f t="shared" si="16"/>
        <v xml:space="preserve"> </v>
      </c>
      <c r="Y184" t="str">
        <f t="shared" si="21"/>
        <v/>
      </c>
    </row>
    <row r="185" spans="1:25" x14ac:dyDescent="0.4">
      <c r="A185" s="16"/>
      <c r="B185" t="str">
        <f t="shared" si="17"/>
        <v/>
      </c>
      <c r="C185" t="str">
        <f>IF(UserInput!B184=0,"",UserInput!B184)</f>
        <v/>
      </c>
      <c r="D185" t="str">
        <f t="shared" si="18"/>
        <v/>
      </c>
      <c r="E185" t="str">
        <f>IF(UserInput!B184=0,"",UserInput!B184)</f>
        <v/>
      </c>
      <c r="G185" s="16"/>
      <c r="H185" s="15" t="str">
        <f>IF(UserInput!D184="","",IF(UserInput!D184=UserInput!D183,"","SET "&amp;UserInput!D184&amp;"TIMESreport '"&amp;UserInput!D184&amp;" TIMESreport'/ "))</f>
        <v/>
      </c>
      <c r="I185" s="15" t="str">
        <f>IF(UserInput!B184=0,"",UserInput!B184)</f>
        <v/>
      </c>
      <c r="J185" s="15" t="str">
        <f>IF(UserInput!C184=0,"","'"&amp;UserInput!C184&amp;"'")</f>
        <v/>
      </c>
      <c r="K185" s="15" t="str">
        <f>IF(I185="","",IF(UserInput!D184=UserInput!D185,"","/ ;"))</f>
        <v/>
      </c>
      <c r="M185" t="str">
        <f t="shared" si="22"/>
        <v/>
      </c>
      <c r="N185" s="13" t="str">
        <f t="shared" si="19"/>
        <v xml:space="preserve"> </v>
      </c>
      <c r="O185" t="str">
        <f t="shared" si="20"/>
        <v/>
      </c>
      <c r="Q185" s="16"/>
      <c r="R185" s="15" t="str">
        <f>IF(UserInput!H184=0,"",IF(UserInput!H184=UserInput!H183,"","SET "&amp;UserInput!H184&amp;"TIMESreport '"&amp;UserInput!H184&amp;" TIMESreport'/ "))</f>
        <v/>
      </c>
      <c r="S185" s="15" t="str">
        <f>IF(UserInput!F184=0,"",UserInput!F184)</f>
        <v/>
      </c>
      <c r="T185" s="15" t="str">
        <f>IF(UserInput!G184=0,"","'"&amp;UserInput!G184&amp;"'")</f>
        <v/>
      </c>
      <c r="U185" s="15" t="str">
        <f>IF(S185="","",IF(UserInput!H184=UserInput!H185,"","/ ;"))</f>
        <v/>
      </c>
      <c r="W185" t="str">
        <f t="shared" si="23"/>
        <v/>
      </c>
      <c r="X185" t="str">
        <f t="shared" si="16"/>
        <v xml:space="preserve"> </v>
      </c>
      <c r="Y185" t="str">
        <f t="shared" si="21"/>
        <v/>
      </c>
    </row>
    <row r="186" spans="1:25" x14ac:dyDescent="0.4">
      <c r="A186" s="16"/>
      <c r="B186" t="str">
        <f t="shared" si="17"/>
        <v/>
      </c>
      <c r="C186" t="str">
        <f>IF(UserInput!B185=0,"",UserInput!B185)</f>
        <v/>
      </c>
      <c r="D186" t="str">
        <f t="shared" si="18"/>
        <v/>
      </c>
      <c r="E186" t="str">
        <f>IF(UserInput!B185=0,"",UserInput!B185)</f>
        <v/>
      </c>
      <c r="G186" s="16"/>
      <c r="H186" s="15" t="str">
        <f>IF(UserInput!D185="","",IF(UserInput!D185=UserInput!D184,"","SET "&amp;UserInput!D185&amp;"TIMESreport '"&amp;UserInput!D185&amp;" TIMESreport'/ "))</f>
        <v/>
      </c>
      <c r="I186" s="15" t="str">
        <f>IF(UserInput!B185=0,"",UserInput!B185)</f>
        <v/>
      </c>
      <c r="J186" s="15" t="str">
        <f>IF(UserInput!C185=0,"","'"&amp;UserInput!C185&amp;"'")</f>
        <v/>
      </c>
      <c r="K186" s="15" t="str">
        <f>IF(I186="","",IF(UserInput!D185=UserInput!D186,"","/ ;"))</f>
        <v/>
      </c>
      <c r="M186" t="str">
        <f t="shared" si="22"/>
        <v/>
      </c>
      <c r="N186" s="13" t="str">
        <f t="shared" si="19"/>
        <v xml:space="preserve"> </v>
      </c>
      <c r="O186" t="str">
        <f t="shared" si="20"/>
        <v/>
      </c>
      <c r="Q186" s="16"/>
      <c r="R186" s="15" t="str">
        <f>IF(UserInput!H185=0,"",IF(UserInput!H185=UserInput!H184,"","SET "&amp;UserInput!H185&amp;"TIMESreport '"&amp;UserInput!H185&amp;" TIMESreport'/ "))</f>
        <v/>
      </c>
      <c r="S186" s="15" t="str">
        <f>IF(UserInput!F185=0,"",UserInput!F185)</f>
        <v/>
      </c>
      <c r="T186" s="15" t="str">
        <f>IF(UserInput!G185=0,"","'"&amp;UserInput!G185&amp;"'")</f>
        <v/>
      </c>
      <c r="U186" s="15" t="str">
        <f>IF(S186="","",IF(UserInput!H185=UserInput!H186,"","/ ;"))</f>
        <v/>
      </c>
      <c r="W186" t="str">
        <f t="shared" si="23"/>
        <v/>
      </c>
      <c r="X186" t="str">
        <f t="shared" si="16"/>
        <v xml:space="preserve"> </v>
      </c>
      <c r="Y186" t="str">
        <f t="shared" si="21"/>
        <v/>
      </c>
    </row>
    <row r="187" spans="1:25" x14ac:dyDescent="0.4">
      <c r="A187" s="16"/>
      <c r="B187" t="str">
        <f t="shared" si="17"/>
        <v/>
      </c>
      <c r="C187" t="str">
        <f>IF(UserInput!B186=0,"",UserInput!B186)</f>
        <v/>
      </c>
      <c r="D187" t="str">
        <f t="shared" si="18"/>
        <v/>
      </c>
      <c r="E187" t="str">
        <f>IF(UserInput!B186=0,"",UserInput!B186)</f>
        <v/>
      </c>
      <c r="G187" s="16"/>
      <c r="H187" s="15" t="str">
        <f>IF(UserInput!D186="","",IF(UserInput!D186=UserInput!D185,"","SET "&amp;UserInput!D186&amp;"TIMESreport '"&amp;UserInput!D186&amp;" TIMESreport'/ "))</f>
        <v/>
      </c>
      <c r="I187" s="15" t="str">
        <f>IF(UserInput!B186=0,"",UserInput!B186)</f>
        <v/>
      </c>
      <c r="J187" s="15" t="str">
        <f>IF(UserInput!C186=0,"","'"&amp;UserInput!C186&amp;"'")</f>
        <v/>
      </c>
      <c r="K187" s="15" t="str">
        <f>IF(I187="","",IF(UserInput!D186=UserInput!D187,"","/ ;"))</f>
        <v/>
      </c>
      <c r="M187" t="str">
        <f t="shared" si="22"/>
        <v/>
      </c>
      <c r="N187" s="13" t="str">
        <f t="shared" si="19"/>
        <v xml:space="preserve"> </v>
      </c>
      <c r="O187" t="str">
        <f t="shared" si="20"/>
        <v/>
      </c>
      <c r="Q187" s="16"/>
      <c r="R187" s="15" t="str">
        <f>IF(UserInput!H186=0,"",IF(UserInput!H186=UserInput!H185,"","SET "&amp;UserInput!H186&amp;"TIMESreport '"&amp;UserInput!H186&amp;" TIMESreport'/ "))</f>
        <v/>
      </c>
      <c r="S187" s="15" t="str">
        <f>IF(UserInput!F186=0,"",UserInput!F186)</f>
        <v/>
      </c>
      <c r="T187" s="15" t="str">
        <f>IF(UserInput!G186=0,"","'"&amp;UserInput!G186&amp;"'")</f>
        <v/>
      </c>
      <c r="U187" s="15" t="str">
        <f>IF(S187="","",IF(UserInput!H186=UserInput!H187,"","/ ;"))</f>
        <v/>
      </c>
      <c r="W187" t="str">
        <f t="shared" si="23"/>
        <v/>
      </c>
      <c r="X187" t="str">
        <f t="shared" si="16"/>
        <v xml:space="preserve"> </v>
      </c>
      <c r="Y187" t="str">
        <f t="shared" si="21"/>
        <v/>
      </c>
    </row>
    <row r="188" spans="1:25" x14ac:dyDescent="0.4">
      <c r="A188" s="16"/>
      <c r="B188" t="str">
        <f t="shared" si="17"/>
        <v/>
      </c>
      <c r="C188" t="str">
        <f>IF(UserInput!B187=0,"",UserInput!B187)</f>
        <v/>
      </c>
      <c r="D188" t="str">
        <f t="shared" si="18"/>
        <v/>
      </c>
      <c r="E188" t="str">
        <f>IF(UserInput!B187=0,"",UserInput!B187)</f>
        <v/>
      </c>
      <c r="G188" s="16"/>
      <c r="H188" s="15" t="str">
        <f>IF(UserInput!D187="","",IF(UserInput!D187=UserInput!D186,"","SET "&amp;UserInput!D187&amp;"TIMESreport '"&amp;UserInput!D187&amp;" TIMESreport'/ "))</f>
        <v/>
      </c>
      <c r="I188" s="15" t="str">
        <f>IF(UserInput!B187=0,"",UserInput!B187)</f>
        <v/>
      </c>
      <c r="J188" s="15" t="str">
        <f>IF(UserInput!C187=0,"","'"&amp;UserInput!C187&amp;"'")</f>
        <v/>
      </c>
      <c r="K188" s="15" t="str">
        <f>IF(I188="","",IF(UserInput!D187=UserInput!D188,"","/ ;"))</f>
        <v/>
      </c>
      <c r="M188" t="str">
        <f t="shared" si="22"/>
        <v/>
      </c>
      <c r="N188" s="13" t="str">
        <f t="shared" si="19"/>
        <v xml:space="preserve"> </v>
      </c>
      <c r="O188" t="str">
        <f t="shared" si="20"/>
        <v/>
      </c>
      <c r="Q188" s="16"/>
      <c r="R188" s="15" t="str">
        <f>IF(UserInput!H187=0,"",IF(UserInput!H187=UserInput!H186,"","SET "&amp;UserInput!H187&amp;"TIMESreport '"&amp;UserInput!H187&amp;" TIMESreport'/ "))</f>
        <v/>
      </c>
      <c r="S188" s="15" t="str">
        <f>IF(UserInput!F187=0,"",UserInput!F187)</f>
        <v/>
      </c>
      <c r="T188" s="15" t="str">
        <f>IF(UserInput!G187=0,"","'"&amp;UserInput!G187&amp;"'")</f>
        <v/>
      </c>
      <c r="U188" s="15" t="str">
        <f>IF(S188="","",IF(UserInput!H187=UserInput!H188,"","/ ;"))</f>
        <v/>
      </c>
      <c r="W188" t="str">
        <f t="shared" si="23"/>
        <v/>
      </c>
      <c r="X188" t="str">
        <f t="shared" si="16"/>
        <v xml:space="preserve"> </v>
      </c>
      <c r="Y188" t="str">
        <f t="shared" si="21"/>
        <v/>
      </c>
    </row>
    <row r="189" spans="1:25" x14ac:dyDescent="0.4">
      <c r="A189" s="16"/>
      <c r="B189" t="str">
        <f t="shared" si="17"/>
        <v/>
      </c>
      <c r="C189" t="str">
        <f>IF(UserInput!B188=0,"",UserInput!B188)</f>
        <v/>
      </c>
      <c r="D189" t="str">
        <f t="shared" si="18"/>
        <v/>
      </c>
      <c r="E189" t="str">
        <f>IF(UserInput!B188=0,"",UserInput!B188)</f>
        <v/>
      </c>
      <c r="G189" s="16"/>
      <c r="H189" s="15" t="str">
        <f>IF(UserInput!D188="","",IF(UserInput!D188=UserInput!D187,"","SET "&amp;UserInput!D188&amp;"TIMESreport '"&amp;UserInput!D188&amp;" TIMESreport'/ "))</f>
        <v/>
      </c>
      <c r="I189" s="15" t="str">
        <f>IF(UserInput!B188=0,"",UserInput!B188)</f>
        <v/>
      </c>
      <c r="J189" s="15" t="str">
        <f>IF(UserInput!C188=0,"","'"&amp;UserInput!C188&amp;"'")</f>
        <v/>
      </c>
      <c r="K189" s="15" t="str">
        <f>IF(I189="","",IF(UserInput!D188=UserInput!D189,"","/ ;"))</f>
        <v/>
      </c>
      <c r="M189" t="str">
        <f t="shared" si="22"/>
        <v/>
      </c>
      <c r="N189" s="13" t="str">
        <f t="shared" si="19"/>
        <v xml:space="preserve"> </v>
      </c>
      <c r="O189" t="str">
        <f t="shared" si="20"/>
        <v/>
      </c>
      <c r="Q189" s="16"/>
      <c r="R189" s="15" t="str">
        <f>IF(UserInput!H188=0,"",IF(UserInput!H188=UserInput!H187,"","SET "&amp;UserInput!H188&amp;"TIMESreport '"&amp;UserInput!H188&amp;" TIMESreport'/ "))</f>
        <v/>
      </c>
      <c r="S189" s="15" t="str">
        <f>IF(UserInput!F188=0,"",UserInput!F188)</f>
        <v/>
      </c>
      <c r="T189" s="15" t="str">
        <f>IF(UserInput!G188=0,"","'"&amp;UserInput!G188&amp;"'")</f>
        <v/>
      </c>
      <c r="U189" s="15" t="str">
        <f>IF(S189="","",IF(UserInput!H188=UserInput!H189,"","/ ;"))</f>
        <v/>
      </c>
      <c r="W189" t="str">
        <f t="shared" si="23"/>
        <v/>
      </c>
      <c r="X189" t="str">
        <f t="shared" si="16"/>
        <v xml:space="preserve"> </v>
      </c>
      <c r="Y189" t="str">
        <f t="shared" si="21"/>
        <v/>
      </c>
    </row>
    <row r="190" spans="1:25" x14ac:dyDescent="0.4">
      <c r="A190" s="16"/>
      <c r="B190" t="str">
        <f t="shared" si="17"/>
        <v/>
      </c>
      <c r="C190" t="str">
        <f>IF(UserInput!B189=0,"",UserInput!B189)</f>
        <v/>
      </c>
      <c r="D190" t="str">
        <f t="shared" si="18"/>
        <v/>
      </c>
      <c r="E190" t="str">
        <f>IF(UserInput!B189=0,"",UserInput!B189)</f>
        <v/>
      </c>
      <c r="G190" s="16"/>
      <c r="H190" s="15" t="str">
        <f>IF(UserInput!D189="","",IF(UserInput!D189=UserInput!D188,"","SET "&amp;UserInput!D189&amp;"TIMESreport '"&amp;UserInput!D189&amp;" TIMESreport'/ "))</f>
        <v/>
      </c>
      <c r="I190" s="15" t="str">
        <f>IF(UserInput!B189=0,"",UserInput!B189)</f>
        <v/>
      </c>
      <c r="J190" s="15" t="str">
        <f>IF(UserInput!C189=0,"","'"&amp;UserInput!C189&amp;"'")</f>
        <v/>
      </c>
      <c r="K190" s="15" t="str">
        <f>IF(I190="","",IF(UserInput!D189=UserInput!D190,"","/ ;"))</f>
        <v/>
      </c>
      <c r="M190" t="str">
        <f t="shared" si="22"/>
        <v/>
      </c>
      <c r="N190" s="13" t="str">
        <f t="shared" si="19"/>
        <v xml:space="preserve"> </v>
      </c>
      <c r="O190" t="str">
        <f t="shared" si="20"/>
        <v/>
      </c>
      <c r="Q190" s="16"/>
      <c r="R190" s="15" t="str">
        <f>IF(UserInput!H189=0,"",IF(UserInput!H189=UserInput!H188,"","SET "&amp;UserInput!H189&amp;"TIMESreport '"&amp;UserInput!H189&amp;" TIMESreport'/ "))</f>
        <v/>
      </c>
      <c r="S190" s="15" t="str">
        <f>IF(UserInput!F189=0,"",UserInput!F189)</f>
        <v/>
      </c>
      <c r="T190" s="15" t="str">
        <f>IF(UserInput!G189=0,"","'"&amp;UserInput!G189&amp;"'")</f>
        <v/>
      </c>
      <c r="U190" s="15" t="str">
        <f>IF(S190="","",IF(UserInput!H189=UserInput!H190,"","/ ;"))</f>
        <v/>
      </c>
      <c r="W190" t="str">
        <f t="shared" si="23"/>
        <v/>
      </c>
      <c r="X190" t="str">
        <f t="shared" si="16"/>
        <v xml:space="preserve"> </v>
      </c>
      <c r="Y190" t="str">
        <f t="shared" si="21"/>
        <v/>
      </c>
    </row>
    <row r="191" spans="1:25" x14ac:dyDescent="0.4">
      <c r="A191" s="16"/>
      <c r="B191" t="str">
        <f t="shared" si="17"/>
        <v/>
      </c>
      <c r="C191" t="str">
        <f>IF(UserInput!B190=0,"",UserInput!B190)</f>
        <v/>
      </c>
      <c r="D191" t="str">
        <f t="shared" si="18"/>
        <v/>
      </c>
      <c r="E191" t="str">
        <f>IF(UserInput!B190=0,"",UserInput!B190)</f>
        <v/>
      </c>
      <c r="G191" s="16"/>
      <c r="H191" s="15" t="str">
        <f>IF(UserInput!D190="","",IF(UserInput!D190=UserInput!D189,"","SET "&amp;UserInput!D190&amp;"TIMESreport '"&amp;UserInput!D190&amp;" TIMESreport'/ "))</f>
        <v/>
      </c>
      <c r="I191" s="15" t="str">
        <f>IF(UserInput!B190=0,"",UserInput!B190)</f>
        <v/>
      </c>
      <c r="J191" s="15" t="str">
        <f>IF(UserInput!C190=0,"","'"&amp;UserInput!C190&amp;"'")</f>
        <v/>
      </c>
      <c r="K191" s="15" t="str">
        <f>IF(I191="","",IF(UserInput!D190=UserInput!D191,"","/ ;"))</f>
        <v/>
      </c>
      <c r="M191" t="str">
        <f t="shared" si="22"/>
        <v/>
      </c>
      <c r="N191" s="13" t="str">
        <f t="shared" si="19"/>
        <v xml:space="preserve"> </v>
      </c>
      <c r="O191" t="str">
        <f t="shared" si="20"/>
        <v/>
      </c>
      <c r="Q191" s="16"/>
      <c r="R191" s="15" t="str">
        <f>IF(UserInput!H190=0,"",IF(UserInput!H190=UserInput!H189,"","SET "&amp;UserInput!H190&amp;"TIMESreport '"&amp;UserInput!H190&amp;" TIMESreport'/ "))</f>
        <v/>
      </c>
      <c r="S191" s="15" t="str">
        <f>IF(UserInput!F190=0,"",UserInput!F190)</f>
        <v/>
      </c>
      <c r="T191" s="15" t="str">
        <f>IF(UserInput!G190=0,"","'"&amp;UserInput!G190&amp;"'")</f>
        <v/>
      </c>
      <c r="U191" s="15" t="str">
        <f>IF(S191="","",IF(UserInput!H190=UserInput!H191,"","/ ;"))</f>
        <v/>
      </c>
      <c r="W191" t="str">
        <f t="shared" si="23"/>
        <v/>
      </c>
      <c r="X191" t="str">
        <f t="shared" si="16"/>
        <v xml:space="preserve"> </v>
      </c>
      <c r="Y191" t="str">
        <f t="shared" si="21"/>
        <v/>
      </c>
    </row>
    <row r="192" spans="1:25" x14ac:dyDescent="0.4">
      <c r="A192" s="16"/>
      <c r="B192" t="str">
        <f t="shared" si="17"/>
        <v/>
      </c>
      <c r="C192" t="str">
        <f>IF(UserInput!B191=0,"",UserInput!B191)</f>
        <v/>
      </c>
      <c r="D192" t="str">
        <f t="shared" si="18"/>
        <v/>
      </c>
      <c r="E192" t="str">
        <f>IF(UserInput!B191=0,"",UserInput!B191)</f>
        <v/>
      </c>
      <c r="G192" s="16"/>
      <c r="H192" s="15" t="str">
        <f>IF(UserInput!D191="","",IF(UserInput!D191=UserInput!D190,"","SET "&amp;UserInput!D191&amp;"TIMESreport '"&amp;UserInput!D191&amp;" TIMESreport'/ "))</f>
        <v/>
      </c>
      <c r="I192" s="15" t="str">
        <f>IF(UserInput!B191=0,"",UserInput!B191)</f>
        <v/>
      </c>
      <c r="J192" s="15" t="str">
        <f>IF(UserInput!C191=0,"","'"&amp;UserInput!C191&amp;"'")</f>
        <v/>
      </c>
      <c r="K192" s="15" t="str">
        <f>IF(I192="","",IF(UserInput!D191=UserInput!D192,"","/ ;"))</f>
        <v/>
      </c>
      <c r="M192" t="str">
        <f t="shared" si="22"/>
        <v/>
      </c>
      <c r="N192" s="13" t="str">
        <f t="shared" si="19"/>
        <v xml:space="preserve"> </v>
      </c>
      <c r="O192" t="str">
        <f t="shared" si="20"/>
        <v/>
      </c>
      <c r="Q192" s="16"/>
      <c r="R192" s="15" t="str">
        <f>IF(UserInput!H191=0,"",IF(UserInput!H191=UserInput!H190,"","SET "&amp;UserInput!H191&amp;"TIMESreport '"&amp;UserInput!H191&amp;" TIMESreport'/ "))</f>
        <v/>
      </c>
      <c r="S192" s="15" t="str">
        <f>IF(UserInput!F191=0,"",UserInput!F191)</f>
        <v/>
      </c>
      <c r="T192" s="15" t="str">
        <f>IF(UserInput!G191=0,"","'"&amp;UserInput!G191&amp;"'")</f>
        <v/>
      </c>
      <c r="U192" s="15" t="str">
        <f>IF(S192="","",IF(UserInput!H191=UserInput!H192,"","/ ;"))</f>
        <v/>
      </c>
      <c r="W192" t="str">
        <f t="shared" si="23"/>
        <v/>
      </c>
      <c r="X192" t="str">
        <f t="shared" si="16"/>
        <v xml:space="preserve"> </v>
      </c>
      <c r="Y192" t="str">
        <f t="shared" si="21"/>
        <v/>
      </c>
    </row>
    <row r="193" spans="1:25" x14ac:dyDescent="0.4">
      <c r="A193" s="16"/>
      <c r="B193" t="str">
        <f t="shared" si="17"/>
        <v/>
      </c>
      <c r="C193" t="str">
        <f>IF(UserInput!B192=0,"",UserInput!B192)</f>
        <v/>
      </c>
      <c r="D193" t="str">
        <f t="shared" si="18"/>
        <v/>
      </c>
      <c r="E193" t="str">
        <f>IF(UserInput!B192=0,"",UserInput!B192)</f>
        <v/>
      </c>
      <c r="G193" s="16"/>
      <c r="H193" s="15" t="str">
        <f>IF(UserInput!D192="","",IF(UserInput!D192=UserInput!D191,"","SET "&amp;UserInput!D192&amp;"TIMESreport '"&amp;UserInput!D192&amp;" TIMESreport'/ "))</f>
        <v/>
      </c>
      <c r="I193" s="15" t="str">
        <f>IF(UserInput!B192=0,"",UserInput!B192)</f>
        <v/>
      </c>
      <c r="J193" s="15" t="str">
        <f>IF(UserInput!C192=0,"","'"&amp;UserInput!C192&amp;"'")</f>
        <v/>
      </c>
      <c r="K193" s="15" t="str">
        <f>IF(I193="","",IF(UserInput!D192=UserInput!D193,"","/ ;"))</f>
        <v/>
      </c>
      <c r="M193" t="str">
        <f t="shared" si="22"/>
        <v/>
      </c>
      <c r="N193" s="13" t="str">
        <f t="shared" si="19"/>
        <v xml:space="preserve"> </v>
      </c>
      <c r="O193" t="str">
        <f t="shared" si="20"/>
        <v/>
      </c>
      <c r="Q193" s="16"/>
      <c r="R193" s="15" t="str">
        <f>IF(UserInput!H192=0,"",IF(UserInput!H192=UserInput!H191,"","SET "&amp;UserInput!H192&amp;"TIMESreport '"&amp;UserInput!H192&amp;" TIMESreport'/ "))</f>
        <v/>
      </c>
      <c r="S193" s="15" t="str">
        <f>IF(UserInput!F192=0,"",UserInput!F192)</f>
        <v/>
      </c>
      <c r="T193" s="15" t="str">
        <f>IF(UserInput!G192=0,"","'"&amp;UserInput!G192&amp;"'")</f>
        <v/>
      </c>
      <c r="U193" s="15" t="str">
        <f>IF(S193="","",IF(UserInput!H192=UserInput!H193,"","/ ;"))</f>
        <v/>
      </c>
      <c r="W193" t="str">
        <f t="shared" si="23"/>
        <v/>
      </c>
      <c r="X193" t="str">
        <f t="shared" si="16"/>
        <v xml:space="preserve"> </v>
      </c>
      <c r="Y193" t="str">
        <f t="shared" si="21"/>
        <v/>
      </c>
    </row>
    <row r="194" spans="1:25" x14ac:dyDescent="0.4">
      <c r="A194" s="16"/>
      <c r="B194" t="str">
        <f t="shared" si="17"/>
        <v/>
      </c>
      <c r="C194" t="str">
        <f>IF(UserInput!B193=0,"",UserInput!B193)</f>
        <v/>
      </c>
      <c r="D194" t="str">
        <f t="shared" si="18"/>
        <v/>
      </c>
      <c r="E194" t="str">
        <f>IF(UserInput!B193=0,"",UserInput!B193)</f>
        <v/>
      </c>
      <c r="G194" s="16"/>
      <c r="H194" s="15" t="str">
        <f>IF(UserInput!D193="","",IF(UserInput!D193=UserInput!D192,"","SET "&amp;UserInput!D193&amp;"TIMESreport '"&amp;UserInput!D193&amp;" TIMESreport'/ "))</f>
        <v/>
      </c>
      <c r="I194" s="15" t="str">
        <f>IF(UserInput!B193=0,"",UserInput!B193)</f>
        <v/>
      </c>
      <c r="J194" s="15" t="str">
        <f>IF(UserInput!C193=0,"","'"&amp;UserInput!C193&amp;"'")</f>
        <v/>
      </c>
      <c r="K194" s="15" t="str">
        <f>IF(I194="","",IF(UserInput!D193=UserInput!D194,"","/ ;"))</f>
        <v/>
      </c>
      <c r="M194" t="str">
        <f t="shared" si="22"/>
        <v/>
      </c>
      <c r="N194" s="13" t="str">
        <f t="shared" si="19"/>
        <v xml:space="preserve"> </v>
      </c>
      <c r="O194" t="str">
        <f t="shared" si="20"/>
        <v/>
      </c>
      <c r="Q194" s="16"/>
      <c r="R194" s="15" t="str">
        <f>IF(UserInput!H193=0,"",IF(UserInput!H193=UserInput!H192,"","SET "&amp;UserInput!H193&amp;"TIMESreport '"&amp;UserInput!H193&amp;" TIMESreport'/ "))</f>
        <v/>
      </c>
      <c r="S194" s="15" t="str">
        <f>IF(UserInput!F193=0,"",UserInput!F193)</f>
        <v/>
      </c>
      <c r="T194" s="15" t="str">
        <f>IF(UserInput!G193=0,"","'"&amp;UserInput!G193&amp;"'")</f>
        <v/>
      </c>
      <c r="U194" s="15" t="str">
        <f>IF(S194="","",IF(UserInput!H193=UserInput!H194,"","/ ;"))</f>
        <v/>
      </c>
      <c r="W194" t="str">
        <f t="shared" si="23"/>
        <v/>
      </c>
      <c r="X194" t="str">
        <f t="shared" si="16"/>
        <v xml:space="preserve"> </v>
      </c>
      <c r="Y194" t="str">
        <f t="shared" si="21"/>
        <v/>
      </c>
    </row>
    <row r="195" spans="1:25" x14ac:dyDescent="0.4">
      <c r="A195" s="16"/>
      <c r="B195" t="str">
        <f t="shared" si="17"/>
        <v/>
      </c>
      <c r="C195" t="str">
        <f>IF(UserInput!B194=0,"",UserInput!B194)</f>
        <v/>
      </c>
      <c r="D195" t="str">
        <f t="shared" si="18"/>
        <v/>
      </c>
      <c r="E195" t="str">
        <f>IF(UserInput!B194=0,"",UserInput!B194)</f>
        <v/>
      </c>
      <c r="G195" s="16"/>
      <c r="H195" s="15" t="str">
        <f>IF(UserInput!D194="","",IF(UserInput!D194=UserInput!D193,"","SET "&amp;UserInput!D194&amp;"TIMESreport '"&amp;UserInput!D194&amp;" TIMESreport'/ "))</f>
        <v/>
      </c>
      <c r="I195" s="15" t="str">
        <f>IF(UserInput!B194=0,"",UserInput!B194)</f>
        <v/>
      </c>
      <c r="J195" s="15" t="str">
        <f>IF(UserInput!C194=0,"","'"&amp;UserInput!C194&amp;"'")</f>
        <v/>
      </c>
      <c r="K195" s="15" t="str">
        <f>IF(I195="","",IF(UserInput!D194=UserInput!D195,"","/ ;"))</f>
        <v/>
      </c>
      <c r="M195" t="str">
        <f t="shared" si="22"/>
        <v/>
      </c>
      <c r="N195" s="13" t="str">
        <f t="shared" si="19"/>
        <v xml:space="preserve"> </v>
      </c>
      <c r="O195" t="str">
        <f t="shared" si="20"/>
        <v/>
      </c>
      <c r="Q195" s="16"/>
      <c r="R195" s="15" t="str">
        <f>IF(UserInput!H194=0,"",IF(UserInput!H194=UserInput!H193,"","SET "&amp;UserInput!H194&amp;"TIMESreport '"&amp;UserInput!H194&amp;" TIMESreport'/ "))</f>
        <v/>
      </c>
      <c r="S195" s="15" t="str">
        <f>IF(UserInput!F194=0,"",UserInput!F194)</f>
        <v/>
      </c>
      <c r="T195" s="15" t="str">
        <f>IF(UserInput!G194=0,"","'"&amp;UserInput!G194&amp;"'")</f>
        <v/>
      </c>
      <c r="U195" s="15" t="str">
        <f>IF(S195="","",IF(UserInput!H194=UserInput!H195,"","/ ;"))</f>
        <v/>
      </c>
      <c r="W195" t="str">
        <f t="shared" si="23"/>
        <v/>
      </c>
      <c r="X195" t="str">
        <f t="shared" si="16"/>
        <v xml:space="preserve"> </v>
      </c>
      <c r="Y195" t="str">
        <f t="shared" si="21"/>
        <v/>
      </c>
    </row>
    <row r="196" spans="1:25" x14ac:dyDescent="0.4">
      <c r="A196" s="16"/>
      <c r="B196" t="str">
        <f t="shared" si="17"/>
        <v/>
      </c>
      <c r="C196" t="str">
        <f>IF(UserInput!B195=0,"",UserInput!B195)</f>
        <v/>
      </c>
      <c r="D196" t="str">
        <f t="shared" si="18"/>
        <v/>
      </c>
      <c r="E196" t="str">
        <f>IF(UserInput!B195=0,"",UserInput!B195)</f>
        <v/>
      </c>
      <c r="G196" s="16"/>
      <c r="H196" s="15" t="str">
        <f>IF(UserInput!D195="","",IF(UserInput!D195=UserInput!D194,"","SET "&amp;UserInput!D195&amp;"TIMESreport '"&amp;UserInput!D195&amp;" TIMESreport'/ "))</f>
        <v/>
      </c>
      <c r="I196" s="15" t="str">
        <f>IF(UserInput!B195=0,"",UserInput!B195)</f>
        <v/>
      </c>
      <c r="J196" s="15" t="str">
        <f>IF(UserInput!C195=0,"","'"&amp;UserInput!C195&amp;"'")</f>
        <v/>
      </c>
      <c r="K196" s="15" t="str">
        <f>IF(I196="","",IF(UserInput!D195=UserInput!D196,"","/ ;"))</f>
        <v/>
      </c>
      <c r="M196" t="str">
        <f t="shared" si="22"/>
        <v/>
      </c>
      <c r="N196" s="13" t="str">
        <f t="shared" si="19"/>
        <v xml:space="preserve"> </v>
      </c>
      <c r="O196" t="str">
        <f t="shared" si="20"/>
        <v/>
      </c>
      <c r="Q196" s="16"/>
      <c r="R196" s="15" t="str">
        <f>IF(UserInput!H195=0,"",IF(UserInput!H195=UserInput!H194,"","SET "&amp;UserInput!H195&amp;"TIMESreport '"&amp;UserInput!H195&amp;" TIMESreport'/ "))</f>
        <v/>
      </c>
      <c r="S196" s="15" t="str">
        <f>IF(UserInput!F195=0,"",UserInput!F195)</f>
        <v/>
      </c>
      <c r="T196" s="15" t="str">
        <f>IF(UserInput!G195=0,"","'"&amp;UserInput!G195&amp;"'")</f>
        <v/>
      </c>
      <c r="U196" s="15" t="str">
        <f>IF(S196="","",IF(UserInput!H195=UserInput!H196,"","/ ;"))</f>
        <v/>
      </c>
      <c r="W196" t="str">
        <f t="shared" si="23"/>
        <v/>
      </c>
      <c r="X196" t="str">
        <f t="shared" si="16"/>
        <v xml:space="preserve"> </v>
      </c>
      <c r="Y196" t="str">
        <f t="shared" si="21"/>
        <v/>
      </c>
    </row>
    <row r="197" spans="1:25" x14ac:dyDescent="0.4">
      <c r="A197" s="16"/>
      <c r="B197" t="str">
        <f t="shared" si="17"/>
        <v/>
      </c>
      <c r="C197" t="str">
        <f>IF(UserInput!B196=0,"",UserInput!B196)</f>
        <v/>
      </c>
      <c r="D197" t="str">
        <f t="shared" si="18"/>
        <v/>
      </c>
      <c r="E197" t="str">
        <f>IF(UserInput!B196=0,"",UserInput!B196)</f>
        <v/>
      </c>
      <c r="G197" s="16"/>
      <c r="H197" s="15" t="str">
        <f>IF(UserInput!D196="","",IF(UserInput!D196=UserInput!D195,"","SET "&amp;UserInput!D196&amp;"TIMESreport '"&amp;UserInput!D196&amp;" TIMESreport'/ "))</f>
        <v/>
      </c>
      <c r="I197" s="15" t="str">
        <f>IF(UserInput!B196=0,"",UserInput!B196)</f>
        <v/>
      </c>
      <c r="J197" s="15" t="str">
        <f>IF(UserInput!C196=0,"","'"&amp;UserInput!C196&amp;"'")</f>
        <v/>
      </c>
      <c r="K197" s="15" t="str">
        <f>IF(I197="","",IF(UserInput!D196=UserInput!D197,"","/ ;"))</f>
        <v/>
      </c>
      <c r="M197" t="str">
        <f t="shared" si="22"/>
        <v/>
      </c>
      <c r="N197" s="13" t="str">
        <f t="shared" si="19"/>
        <v xml:space="preserve"> </v>
      </c>
      <c r="O197" t="str">
        <f t="shared" si="20"/>
        <v/>
      </c>
      <c r="Q197" s="16"/>
      <c r="R197" s="15" t="str">
        <f>IF(UserInput!H196=0,"",IF(UserInput!H196=UserInput!H195,"","SET "&amp;UserInput!H196&amp;"TIMESreport '"&amp;UserInput!H196&amp;" TIMESreport'/ "))</f>
        <v/>
      </c>
      <c r="S197" s="15" t="str">
        <f>IF(UserInput!F196=0,"",UserInput!F196)</f>
        <v/>
      </c>
      <c r="T197" s="15" t="str">
        <f>IF(UserInput!G196=0,"","'"&amp;UserInput!G196&amp;"'")</f>
        <v/>
      </c>
      <c r="U197" s="15" t="str">
        <f>IF(S197="","",IF(UserInput!H196=UserInput!H197,"","/ ;"))</f>
        <v/>
      </c>
      <c r="W197" t="str">
        <f t="shared" si="23"/>
        <v/>
      </c>
      <c r="X197" t="str">
        <f t="shared" si="16"/>
        <v xml:space="preserve"> </v>
      </c>
      <c r="Y197" t="str">
        <f t="shared" si="21"/>
        <v/>
      </c>
    </row>
    <row r="198" spans="1:25" x14ac:dyDescent="0.4">
      <c r="N198" s="14"/>
    </row>
    <row r="199" spans="1:25" x14ac:dyDescent="0.4">
      <c r="N199" s="14"/>
    </row>
  </sheetData>
  <mergeCells count="8">
    <mergeCell ref="H6:J6"/>
    <mergeCell ref="R6:T6"/>
    <mergeCell ref="R2:Y2"/>
    <mergeCell ref="H3:O3"/>
    <mergeCell ref="B3:E3"/>
    <mergeCell ref="R3:Y3"/>
    <mergeCell ref="B2:E2"/>
    <mergeCell ref="H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582F1-B24B-49CC-AFBB-748FAAC8AD46}">
  <sheetPr codeName="Sheet4"/>
  <dimension ref="B2:I15"/>
  <sheetViews>
    <sheetView topLeftCell="H1" zoomScale="115" zoomScaleNormal="115" workbookViewId="0">
      <selection activeCell="H21" sqref="H21"/>
    </sheetView>
  </sheetViews>
  <sheetFormatPr defaultRowHeight="14.6" x14ac:dyDescent="0.4"/>
  <cols>
    <col min="2" max="2" width="16.3828125" bestFit="1" customWidth="1"/>
    <col min="3" max="3" width="27.3828125" customWidth="1"/>
    <col min="4" max="4" width="6.3046875" bestFit="1" customWidth="1"/>
    <col min="7" max="7" width="17" bestFit="1" customWidth="1"/>
    <col min="8" max="8" width="71.15234375" customWidth="1"/>
  </cols>
  <sheetData>
    <row r="2" spans="2:9" x14ac:dyDescent="0.4">
      <c r="B2" s="9" t="s">
        <v>1</v>
      </c>
    </row>
    <row r="3" spans="2:9" x14ac:dyDescent="0.4">
      <c r="B3" s="22" t="s">
        <v>0</v>
      </c>
      <c r="C3" s="22" t="s">
        <v>2</v>
      </c>
      <c r="D3" s="22" t="s">
        <v>3</v>
      </c>
      <c r="G3" s="23" t="s">
        <v>22</v>
      </c>
    </row>
    <row r="4" spans="2:9" x14ac:dyDescent="0.4">
      <c r="B4" s="21" t="str">
        <f>IF(G4="Yes","RFCmd_F","*")</f>
        <v>RFCmd_F</v>
      </c>
      <c r="C4" s="13" t="s">
        <v>20</v>
      </c>
      <c r="D4">
        <v>1</v>
      </c>
      <c r="G4" t="s">
        <v>23</v>
      </c>
      <c r="H4" t="s">
        <v>64</v>
      </c>
    </row>
    <row r="5" spans="2:9" x14ac:dyDescent="0.4">
      <c r="B5" s="21" t="str">
        <f>IF(G5="Yes","RFCmd_F","*")</f>
        <v>RFCmd_F</v>
      </c>
      <c r="C5" s="13" t="s">
        <v>63</v>
      </c>
      <c r="D5">
        <v>2</v>
      </c>
      <c r="G5" t="s">
        <v>23</v>
      </c>
      <c r="H5" t="s">
        <v>65</v>
      </c>
    </row>
    <row r="6" spans="2:9" x14ac:dyDescent="0.4">
      <c r="B6" s="21"/>
      <c r="C6" s="13"/>
    </row>
    <row r="7" spans="2:9" x14ac:dyDescent="0.4">
      <c r="B7" s="9" t="s">
        <v>1</v>
      </c>
    </row>
    <row r="8" spans="2:9" x14ac:dyDescent="0.4">
      <c r="B8" s="22" t="s">
        <v>0</v>
      </c>
      <c r="C8" s="22" t="s">
        <v>2</v>
      </c>
      <c r="D8" s="22" t="s">
        <v>21</v>
      </c>
      <c r="G8" t="s">
        <v>40</v>
      </c>
      <c r="H8" s="25" t="s">
        <v>39</v>
      </c>
      <c r="I8" s="26" t="s">
        <v>41</v>
      </c>
    </row>
    <row r="9" spans="2:9" x14ac:dyDescent="0.4">
      <c r="B9" s="24" t="str">
        <f t="shared" ref="B9:B15" si="0">IF(G9="Yes","RPT_OPT","*")</f>
        <v>*</v>
      </c>
      <c r="C9" s="24" t="s">
        <v>24</v>
      </c>
      <c r="D9" s="24">
        <v>1</v>
      </c>
      <c r="G9" t="s">
        <v>25</v>
      </c>
      <c r="H9" t="s">
        <v>26</v>
      </c>
    </row>
    <row r="10" spans="2:9" x14ac:dyDescent="0.4">
      <c r="B10" s="24" t="str">
        <f t="shared" si="0"/>
        <v>RPT_OPT</v>
      </c>
      <c r="C10" s="24" t="s">
        <v>27</v>
      </c>
      <c r="D10" s="24">
        <v>1</v>
      </c>
      <c r="G10" t="s">
        <v>23</v>
      </c>
      <c r="H10" s="12" t="s">
        <v>38</v>
      </c>
    </row>
    <row r="11" spans="2:9" x14ac:dyDescent="0.4">
      <c r="B11" s="24" t="str">
        <f t="shared" si="0"/>
        <v>*</v>
      </c>
      <c r="C11" s="24" t="s">
        <v>28</v>
      </c>
      <c r="D11" s="24">
        <v>1</v>
      </c>
      <c r="G11" t="s">
        <v>25</v>
      </c>
      <c r="H11" t="s">
        <v>29</v>
      </c>
    </row>
    <row r="12" spans="2:9" x14ac:dyDescent="0.4">
      <c r="B12" s="24" t="str">
        <f t="shared" si="0"/>
        <v>*</v>
      </c>
      <c r="C12" s="24" t="s">
        <v>30</v>
      </c>
      <c r="D12" s="24">
        <v>1</v>
      </c>
      <c r="G12" t="s">
        <v>25</v>
      </c>
      <c r="H12" t="s">
        <v>31</v>
      </c>
    </row>
    <row r="13" spans="2:9" x14ac:dyDescent="0.4">
      <c r="B13" s="24" t="str">
        <f t="shared" si="0"/>
        <v>*</v>
      </c>
      <c r="C13" s="24" t="s">
        <v>32</v>
      </c>
      <c r="D13" s="24">
        <v>1</v>
      </c>
      <c r="G13" t="s">
        <v>25</v>
      </c>
      <c r="H13" t="s">
        <v>33</v>
      </c>
    </row>
    <row r="14" spans="2:9" x14ac:dyDescent="0.4">
      <c r="B14" s="24" t="str">
        <f t="shared" si="0"/>
        <v>RPT_OPT</v>
      </c>
      <c r="C14" s="24" t="s">
        <v>34</v>
      </c>
      <c r="D14" s="24">
        <v>1</v>
      </c>
      <c r="G14" t="s">
        <v>62</v>
      </c>
      <c r="H14" t="s">
        <v>35</v>
      </c>
    </row>
    <row r="15" spans="2:9" x14ac:dyDescent="0.4">
      <c r="B15" s="24" t="str">
        <f t="shared" si="0"/>
        <v>RPT_OPT</v>
      </c>
      <c r="C15" s="24" t="s">
        <v>36</v>
      </c>
      <c r="D15" s="24">
        <v>1</v>
      </c>
      <c r="G15" t="s">
        <v>62</v>
      </c>
      <c r="H15" t="s">
        <v>37</v>
      </c>
    </row>
  </sheetData>
  <hyperlinks>
    <hyperlink ref="H8" r:id="rId1" xr:uid="{00000000-0004-0000-02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3:J26"/>
  <sheetViews>
    <sheetView zoomScale="85" zoomScaleNormal="85" workbookViewId="0">
      <selection activeCell="C13" sqref="C13"/>
    </sheetView>
  </sheetViews>
  <sheetFormatPr defaultRowHeight="14.6" x14ac:dyDescent="0.4"/>
  <cols>
    <col min="2" max="2" width="22.15234375" customWidth="1"/>
    <col min="3" max="3" width="114.69140625" customWidth="1"/>
    <col min="4" max="4" width="10.15234375" customWidth="1"/>
    <col min="5" max="5" width="18" customWidth="1"/>
    <col min="6" max="6" width="17.3828125" customWidth="1"/>
    <col min="7" max="7" width="10.69140625" bestFit="1" customWidth="1"/>
    <col min="9" max="9" width="32.84375" bestFit="1" customWidth="1"/>
    <col min="10" max="10" width="42.69140625" bestFit="1" customWidth="1"/>
  </cols>
  <sheetData>
    <row r="3" spans="2:6" ht="128.25" customHeight="1" x14ac:dyDescent="0.4">
      <c r="B3" s="1" t="s">
        <v>11</v>
      </c>
      <c r="C3" s="1"/>
      <c r="D3" s="1"/>
    </row>
    <row r="6" spans="2:6" x14ac:dyDescent="0.4">
      <c r="B6" s="9" t="s">
        <v>1</v>
      </c>
      <c r="F6" s="10"/>
    </row>
    <row r="7" spans="2:6" ht="15" thickBot="1" x14ac:dyDescent="0.45">
      <c r="B7" s="11" t="s">
        <v>0</v>
      </c>
      <c r="C7" s="11" t="s">
        <v>2</v>
      </c>
      <c r="D7" s="11" t="s">
        <v>3</v>
      </c>
      <c r="E7" s="11" t="s">
        <v>42</v>
      </c>
    </row>
    <row r="8" spans="2:6" x14ac:dyDescent="0.4">
      <c r="B8" t="s">
        <v>4</v>
      </c>
      <c r="C8" s="13" t="s">
        <v>55</v>
      </c>
      <c r="D8">
        <v>1</v>
      </c>
      <c r="E8" t="s">
        <v>43</v>
      </c>
    </row>
    <row r="9" spans="2:6" x14ac:dyDescent="0.4">
      <c r="B9" t="s">
        <v>4</v>
      </c>
      <c r="C9" s="13" t="s">
        <v>56</v>
      </c>
      <c r="D9">
        <v>2</v>
      </c>
      <c r="E9" t="s">
        <v>44</v>
      </c>
    </row>
    <row r="10" spans="2:6" ht="26.25" customHeight="1" x14ac:dyDescent="0.4">
      <c r="B10" t="s">
        <v>4</v>
      </c>
      <c r="C10" s="13" t="str">
        <f ca="1">C17</f>
        <v>gams C:\kristoffer\DemoS_012_timesreport\SuppXLS\..\TIMESreport\timesreport.gms  --TIMESscenario=%$case_name%  --pathTIMESmodel=C:\kristoffer\DemoS_012_timesreport\SuppXLS\..\ --GAMS_WrkTIMES_Model=%$pathGAMS_WrkTIMES_Model%</v>
      </c>
      <c r="D10">
        <v>3</v>
      </c>
      <c r="E10" t="s">
        <v>45</v>
      </c>
    </row>
    <row r="15" spans="2:6" x14ac:dyDescent="0.4">
      <c r="B15" t="s">
        <v>5</v>
      </c>
      <c r="C15" t="str">
        <f ca="1">CELL("filename",$A$1)</f>
        <v>C:\kristoffer\DemoS_012_timesreport\SuppXLS\[Scen_Z_TIMESReport.xlsx]RunTIMESReportScript</v>
      </c>
    </row>
    <row r="16" spans="2:6" x14ac:dyDescent="0.4">
      <c r="B16" t="s">
        <v>6</v>
      </c>
      <c r="C16" s="12" t="str">
        <f ca="1">LEFT(filename,FIND("?",SUBSTITUTE(filename,"\","?",LEN(filename)-LEN(SUBSTITUTE(filename,"\","")))))</f>
        <v>C:\kristoffer\DemoS_012_timesreport\SuppXLS\</v>
      </c>
    </row>
    <row r="17" spans="2:10" x14ac:dyDescent="0.4">
      <c r="B17" t="s">
        <v>7</v>
      </c>
      <c r="C17" t="str">
        <f ca="1">"gams "&amp;C16&amp;"..\TIMESreport\timesreport.gms  --TIMESscenario=%$case_name%  --pathTIMESmodel="&amp;C16&amp;"..\ --GAMS_WrkTIMES_Model=%$pathGAMS_WrkTIMES_Model%"</f>
        <v>gams C:\kristoffer\DemoS_012_timesreport\SuppXLS\..\TIMESreport\timesreport.gms  --TIMESscenario=%$case_name%  --pathTIMESmodel=C:\kristoffer\DemoS_012_timesreport\SuppXLS\..\ --GAMS_WrkTIMES_Model=%$pathGAMS_WrkTIMES_Model%</v>
      </c>
    </row>
    <row r="21" spans="2:10" x14ac:dyDescent="0.4">
      <c r="B21" s="27" t="s">
        <v>46</v>
      </c>
      <c r="C21" s="15"/>
      <c r="D21" s="15"/>
      <c r="E21" s="15"/>
      <c r="F21" s="15"/>
      <c r="G21" s="15"/>
      <c r="H21" s="37" t="s">
        <v>59</v>
      </c>
      <c r="I21" s="35" t="s">
        <v>58</v>
      </c>
      <c r="J21" s="36" t="s">
        <v>57</v>
      </c>
    </row>
    <row r="22" spans="2:10" x14ac:dyDescent="0.4">
      <c r="B22" s="15"/>
      <c r="C22" s="15"/>
      <c r="D22" s="15"/>
      <c r="E22" s="15"/>
      <c r="F22" s="15"/>
      <c r="G22" s="15"/>
      <c r="H22" s="35"/>
      <c r="I22" s="35"/>
      <c r="J22" s="35"/>
    </row>
    <row r="23" spans="2:10" x14ac:dyDescent="0.4">
      <c r="B23" s="28" t="s">
        <v>47</v>
      </c>
      <c r="C23" s="29"/>
      <c r="D23" s="29"/>
      <c r="E23" s="29"/>
      <c r="F23" s="29"/>
      <c r="G23" s="29"/>
      <c r="H23" s="35"/>
      <c r="I23" s="35"/>
      <c r="J23" s="35"/>
    </row>
    <row r="24" spans="2:10" ht="15" thickBot="1" x14ac:dyDescent="0.45">
      <c r="B24" s="30" t="s">
        <v>48</v>
      </c>
      <c r="C24" s="30" t="s">
        <v>49</v>
      </c>
      <c r="D24" s="31" t="s">
        <v>50</v>
      </c>
      <c r="E24" s="31" t="s">
        <v>51</v>
      </c>
      <c r="F24" s="31" t="s">
        <v>0</v>
      </c>
      <c r="G24" s="31" t="s">
        <v>21</v>
      </c>
      <c r="H24" s="35"/>
      <c r="I24" s="35"/>
      <c r="J24" s="35"/>
    </row>
    <row r="25" spans="2:10" x14ac:dyDescent="0.4">
      <c r="B25" s="15" t="s">
        <v>52</v>
      </c>
      <c r="C25" s="32" t="s">
        <v>53</v>
      </c>
      <c r="D25" s="15"/>
      <c r="E25" s="15"/>
      <c r="F25" s="33" t="s">
        <v>54</v>
      </c>
      <c r="G25" s="34">
        <v>0</v>
      </c>
      <c r="H25" s="35"/>
      <c r="I25" s="35"/>
      <c r="J25" s="35"/>
    </row>
    <row r="26" spans="2:10" x14ac:dyDescent="0.4">
      <c r="B26" s="15"/>
      <c r="C26" s="15"/>
      <c r="D26" s="15"/>
      <c r="E26" s="15"/>
      <c r="F26" s="15"/>
      <c r="G26" s="15"/>
      <c r="H26" s="35"/>
      <c r="I26" s="35"/>
      <c r="J26" s="35"/>
    </row>
  </sheetData>
  <mergeCells count="1">
    <mergeCell ref="B3:D3"/>
  </mergeCells>
  <hyperlinks>
    <hyperlink ref="J21" r:id="rId1" xr:uid="{00000000-0004-0000-03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AD35B7-14BB-4BCD-B801-32206F9AEC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UserInput</vt:lpstr>
      <vt:lpstr>WriteSets2GDXfile</vt:lpstr>
      <vt:lpstr>TIMESreport_Switches</vt:lpstr>
      <vt:lpstr>RunTIMESReportScript</vt:lpstr>
      <vt:lpstr>TIMESreport_Switches!filename</vt:lpstr>
      <vt:lpstr>filename</vt:lpstr>
    </vt:vector>
  </TitlesOfParts>
  <Manager/>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Amit Kanudia</dc:creator>
  <cp:keywords/>
  <dc:description/>
  <cp:lastModifiedBy>Kristoffer Steen Andersen</cp:lastModifiedBy>
  <dcterms:created xsi:type="dcterms:W3CDTF">2009-05-27T15:40:55Z</dcterms:created>
  <dcterms:modified xsi:type="dcterms:W3CDTF">2026-05-20T18:01:31Z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924476265907287</vt:r8>
  </property>
</Properties>
</file>