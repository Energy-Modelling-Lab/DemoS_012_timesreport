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kristoffer\DemoS_012_timesreport\"/>
    </mc:Choice>
  </mc:AlternateContent>
  <xr:revisionPtr revIDLastSave="0" documentId="13_ncr:1_{94DEBF54-460E-4CC8-BBA5-1028F83563E7}" xr6:coauthVersionLast="47" xr6:coauthVersionMax="47" xr10:uidLastSave="{00000000-0000-0000-0000-000000000000}"/>
  <bookViews>
    <workbookView xWindow="-34670" yWindow="-110" windowWidth="34780" windowHeight="21100" tabRatio="853" activeTab="7" xr2:uid="{00000000-000D-0000-FFFF-FFFF00000000}"/>
  </bookViews>
  <sheets>
    <sheet name="Region-Time Slices" sheetId="16" r:id="rId1"/>
    <sheet name="TimePeriods" sheetId="18" r:id="rId2"/>
    <sheet name="Import Settings" sheetId="17" r:id="rId3"/>
    <sheet name="Interpol_Extrapol_Defaults" sheetId="14" r:id="rId4"/>
    <sheet name="Constants" sheetId="20" r:id="rId5"/>
    <sheet name="Defaults" sheetId="21" r:id="rId6"/>
    <sheet name="Commodity Group_TIMESreport" sheetId="15" r:id="rId7"/>
    <sheet name="Runfile Switches" sheetId="23" r:id="rId8"/>
  </sheets>
  <externalReferences>
    <externalReference r:id="rId9"/>
  </externalReferences>
  <definedNames>
    <definedName name="FID_1">[1]AGR_Fuels!$A$2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9" i="15" l="1"/>
  <c r="C180" i="15"/>
  <c r="C179" i="15"/>
  <c r="C166" i="15"/>
  <c r="C165" i="15"/>
  <c r="C164" i="15"/>
  <c r="C163" i="15"/>
  <c r="C162" i="15"/>
  <c r="C161" i="15"/>
  <c r="C160" i="15"/>
  <c r="C159" i="15"/>
  <c r="C145" i="15"/>
  <c r="C144" i="15"/>
  <c r="C143" i="15"/>
  <c r="C142" i="15"/>
  <c r="C141" i="15"/>
  <c r="C125" i="15"/>
  <c r="C122" i="15"/>
  <c r="C121" i="15"/>
  <c r="C120" i="15"/>
  <c r="C119" i="15"/>
  <c r="C106" i="15"/>
  <c r="C105" i="15"/>
  <c r="C104" i="15"/>
  <c r="C103" i="15"/>
  <c r="C102" i="15"/>
  <c r="C101" i="15"/>
  <c r="C100" i="15"/>
  <c r="C99" i="15"/>
  <c r="C86" i="15"/>
  <c r="C85" i="15"/>
  <c r="C84" i="15"/>
  <c r="C81" i="15"/>
  <c r="C66" i="15"/>
  <c r="C65" i="15"/>
  <c r="C64" i="15"/>
  <c r="C63" i="15"/>
  <c r="C62" i="15"/>
  <c r="C61" i="15"/>
  <c r="C60" i="15"/>
  <c r="C59" i="15"/>
  <c r="C47" i="15"/>
  <c r="C46" i="15"/>
  <c r="C45" i="15"/>
  <c r="C44" i="15"/>
  <c r="C43" i="15"/>
  <c r="C42" i="15"/>
  <c r="C41" i="15"/>
  <c r="C39" i="15"/>
  <c r="C28" i="15"/>
  <c r="C25" i="15"/>
  <c r="C24" i="15"/>
  <c r="C23" i="15"/>
  <c r="C22" i="15"/>
  <c r="C21" i="15"/>
  <c r="C20" i="15"/>
  <c r="C19" i="15"/>
  <c r="C18" i="15"/>
  <c r="C9" i="15"/>
  <c r="C8" i="15"/>
  <c r="D161" i="15"/>
  <c r="D141" i="15"/>
  <c r="D121" i="15"/>
  <c r="D101" i="15"/>
  <c r="D81" i="15"/>
  <c r="D41" i="15"/>
  <c r="D22" i="15"/>
  <c r="C26" i="15" l="1"/>
  <c r="C79" i="15"/>
  <c r="C123" i="15"/>
  <c r="C181" i="15"/>
  <c r="D21" i="15"/>
  <c r="C27" i="15"/>
  <c r="C80" i="15"/>
  <c r="C124" i="15"/>
  <c r="C182" i="15"/>
  <c r="C183" i="15"/>
  <c r="C82" i="15"/>
  <c r="C139" i="15"/>
  <c r="C184" i="15"/>
  <c r="D61" i="15"/>
  <c r="C40" i="15"/>
  <c r="C83" i="15"/>
  <c r="C140" i="15"/>
  <c r="C185" i="15"/>
  <c r="C186" i="15"/>
  <c r="C67" i="15"/>
  <c r="C107" i="15"/>
  <c r="C147" i="15"/>
  <c r="C167" i="15"/>
  <c r="C187" i="15"/>
  <c r="C49" i="15"/>
  <c r="C89" i="15"/>
  <c r="C189" i="15"/>
  <c r="C126" i="15"/>
  <c r="C130" i="15"/>
  <c r="D181" i="15"/>
  <c r="C127" i="15"/>
  <c r="C48" i="15"/>
  <c r="C68" i="15"/>
  <c r="C88" i="15"/>
  <c r="C108" i="15"/>
  <c r="C128" i="15"/>
  <c r="C148" i="15"/>
  <c r="C168" i="15"/>
  <c r="C188" i="15"/>
  <c r="C29" i="15"/>
  <c r="C69" i="15"/>
  <c r="C109" i="15"/>
  <c r="C129" i="15"/>
  <c r="C149" i="15"/>
  <c r="C169" i="15"/>
  <c r="C10" i="15"/>
  <c r="C30" i="15"/>
  <c r="C50" i="15"/>
  <c r="C70" i="15"/>
  <c r="C90" i="15"/>
  <c r="C110" i="15"/>
  <c r="C150" i="15"/>
  <c r="C170" i="15"/>
  <c r="C190" i="15"/>
  <c r="C11" i="15"/>
  <c r="C31" i="15"/>
  <c r="C51" i="15"/>
  <c r="C71" i="15"/>
  <c r="C91" i="15"/>
  <c r="C111" i="15"/>
  <c r="C131" i="15"/>
  <c r="C151" i="15"/>
  <c r="C171" i="15"/>
  <c r="C191" i="15"/>
  <c r="C12" i="15"/>
  <c r="C32" i="15"/>
  <c r="C52" i="15"/>
  <c r="C72" i="15"/>
  <c r="C92" i="15"/>
  <c r="C112" i="15"/>
  <c r="C132" i="15"/>
  <c r="C152" i="15"/>
  <c r="C172" i="15"/>
  <c r="C192" i="15"/>
  <c r="C13" i="15"/>
  <c r="C33" i="15"/>
  <c r="C53" i="15"/>
  <c r="C73" i="15"/>
  <c r="C93" i="15"/>
  <c r="C113" i="15"/>
  <c r="C133" i="15"/>
  <c r="C153" i="15"/>
  <c r="C173" i="15"/>
  <c r="C193" i="15"/>
  <c r="C14" i="15"/>
  <c r="C34" i="15"/>
  <c r="C54" i="15"/>
  <c r="C74" i="15"/>
  <c r="C94" i="15"/>
  <c r="C114" i="15"/>
  <c r="C134" i="15"/>
  <c r="C154" i="15"/>
  <c r="C174" i="15"/>
  <c r="C194" i="15"/>
  <c r="C35" i="15"/>
  <c r="C55" i="15"/>
  <c r="C75" i="15"/>
  <c r="C95" i="15"/>
  <c r="C115" i="15"/>
  <c r="C135" i="15"/>
  <c r="C155" i="15"/>
  <c r="C175" i="15"/>
  <c r="C195" i="15"/>
  <c r="C16" i="15"/>
  <c r="C36" i="15"/>
  <c r="C56" i="15"/>
  <c r="C76" i="15"/>
  <c r="C96" i="15"/>
  <c r="C116" i="15"/>
  <c r="C136" i="15"/>
  <c r="C156" i="15"/>
  <c r="C176" i="15"/>
  <c r="C196" i="15"/>
  <c r="C17" i="15"/>
  <c r="C37" i="15"/>
  <c r="C57" i="15"/>
  <c r="C77" i="15"/>
  <c r="C97" i="15"/>
  <c r="C117" i="15"/>
  <c r="C137" i="15"/>
  <c r="C157" i="15"/>
  <c r="C177" i="15"/>
  <c r="C197" i="15"/>
  <c r="C146" i="15"/>
  <c r="C87" i="15"/>
  <c r="C38" i="15"/>
  <c r="C58" i="15"/>
  <c r="C78" i="15"/>
  <c r="C98" i="15"/>
  <c r="C118" i="15"/>
  <c r="C138" i="15"/>
  <c r="C158" i="15"/>
  <c r="C178" i="15"/>
  <c r="C198" i="15"/>
  <c r="D42" i="15"/>
  <c r="D82" i="15"/>
  <c r="D122" i="15"/>
  <c r="D142" i="15"/>
  <c r="D182" i="15"/>
  <c r="D43" i="15"/>
  <c r="D83" i="15"/>
  <c r="D123" i="15"/>
  <c r="D143" i="15"/>
  <c r="D163" i="15"/>
  <c r="D24" i="15"/>
  <c r="D64" i="15"/>
  <c r="D104" i="15"/>
  <c r="D144" i="15"/>
  <c r="D164" i="15"/>
  <c r="D45" i="15"/>
  <c r="D65" i="15"/>
  <c r="D105" i="15"/>
  <c r="D145" i="15"/>
  <c r="D165" i="15"/>
  <c r="D26" i="15"/>
  <c r="D66" i="15"/>
  <c r="D86" i="15"/>
  <c r="D126" i="15"/>
  <c r="D146" i="15"/>
  <c r="D186" i="15"/>
  <c r="D27" i="15"/>
  <c r="D67" i="15"/>
  <c r="D107" i="15"/>
  <c r="D147" i="15"/>
  <c r="D187" i="15"/>
  <c r="D28" i="15"/>
  <c r="D68" i="15"/>
  <c r="D128" i="15"/>
  <c r="D188" i="15"/>
  <c r="D9" i="15"/>
  <c r="D69" i="15"/>
  <c r="D129" i="15"/>
  <c r="D189" i="15"/>
  <c r="D50" i="15"/>
  <c r="D90" i="15"/>
  <c r="D170" i="15"/>
  <c r="D31" i="15"/>
  <c r="D111" i="15"/>
  <c r="D191" i="15"/>
  <c r="D12" i="15"/>
  <c r="D92" i="15"/>
  <c r="D152" i="15"/>
  <c r="D20" i="15"/>
  <c r="D40" i="15"/>
  <c r="D60" i="15"/>
  <c r="D80" i="15"/>
  <c r="D100" i="15"/>
  <c r="D120" i="15"/>
  <c r="D140" i="15"/>
  <c r="D160" i="15"/>
  <c r="D180" i="15"/>
  <c r="D62" i="15"/>
  <c r="D102" i="15"/>
  <c r="D162" i="15"/>
  <c r="D23" i="15"/>
  <c r="D63" i="15"/>
  <c r="D103" i="15"/>
  <c r="D183" i="15"/>
  <c r="D44" i="15"/>
  <c r="D84" i="15"/>
  <c r="D124" i="15"/>
  <c r="D184" i="15"/>
  <c r="D25" i="15"/>
  <c r="D85" i="15"/>
  <c r="D125" i="15"/>
  <c r="D185" i="15"/>
  <c r="D46" i="15"/>
  <c r="D106" i="15"/>
  <c r="D166" i="15"/>
  <c r="D47" i="15"/>
  <c r="D87" i="15"/>
  <c r="D127" i="15"/>
  <c r="D167" i="15"/>
  <c r="D8" i="15"/>
  <c r="D48" i="15"/>
  <c r="D88" i="15"/>
  <c r="D148" i="15"/>
  <c r="D29" i="15"/>
  <c r="D109" i="15"/>
  <c r="D149" i="15"/>
  <c r="D10" i="15"/>
  <c r="D110" i="15"/>
  <c r="D150" i="15"/>
  <c r="D51" i="15"/>
  <c r="D91" i="15"/>
  <c r="D151" i="15"/>
  <c r="D32" i="15"/>
  <c r="D72" i="15"/>
  <c r="D132" i="15"/>
  <c r="D172" i="15"/>
  <c r="D33" i="15"/>
  <c r="D73" i="15"/>
  <c r="D113" i="15"/>
  <c r="D153" i="15"/>
  <c r="D173" i="15"/>
  <c r="D34" i="15"/>
  <c r="D74" i="15"/>
  <c r="D114" i="15"/>
  <c r="D174" i="15"/>
  <c r="D15" i="15"/>
  <c r="D55" i="15"/>
  <c r="D115" i="15"/>
  <c r="D175" i="15"/>
  <c r="D16" i="15"/>
  <c r="D56" i="15"/>
  <c r="D116" i="15"/>
  <c r="D176" i="15"/>
  <c r="D17" i="15"/>
  <c r="D57" i="15"/>
  <c r="D97" i="15"/>
  <c r="D137" i="15"/>
  <c r="D177" i="15"/>
  <c r="D18" i="15"/>
  <c r="D38" i="15"/>
  <c r="D58" i="15"/>
  <c r="D78" i="15"/>
  <c r="D98" i="15"/>
  <c r="D118" i="15"/>
  <c r="D138" i="15"/>
  <c r="D158" i="15"/>
  <c r="D178" i="15"/>
  <c r="D198" i="15"/>
  <c r="D108" i="15"/>
  <c r="D168" i="15"/>
  <c r="D49" i="15"/>
  <c r="D89" i="15"/>
  <c r="D169" i="15"/>
  <c r="D30" i="15"/>
  <c r="D70" i="15"/>
  <c r="D130" i="15"/>
  <c r="D190" i="15"/>
  <c r="D11" i="15"/>
  <c r="D71" i="15"/>
  <c r="D131" i="15"/>
  <c r="D171" i="15"/>
  <c r="D52" i="15"/>
  <c r="D112" i="15"/>
  <c r="D192" i="15"/>
  <c r="D13" i="15"/>
  <c r="D53" i="15"/>
  <c r="D93" i="15"/>
  <c r="D133" i="15"/>
  <c r="D193" i="15"/>
  <c r="D14" i="15"/>
  <c r="D54" i="15"/>
  <c r="D94" i="15"/>
  <c r="D134" i="15"/>
  <c r="D154" i="15"/>
  <c r="D194" i="15"/>
  <c r="D35" i="15"/>
  <c r="D75" i="15"/>
  <c r="D95" i="15"/>
  <c r="D135" i="15"/>
  <c r="D155" i="15"/>
  <c r="D195" i="15"/>
  <c r="D36" i="15"/>
  <c r="D76" i="15"/>
  <c r="D96" i="15"/>
  <c r="D136" i="15"/>
  <c r="D156" i="15"/>
  <c r="D196" i="15"/>
  <c r="D37" i="15"/>
  <c r="D77" i="15"/>
  <c r="D117" i="15"/>
  <c r="D157" i="15"/>
  <c r="D197" i="15"/>
  <c r="D19" i="15"/>
  <c r="D39" i="15"/>
  <c r="D59" i="15"/>
  <c r="D79" i="15"/>
  <c r="D99" i="15"/>
  <c r="D119" i="15"/>
  <c r="D139" i="15"/>
  <c r="D159" i="15"/>
  <c r="D179" i="15"/>
  <c r="D199" i="15"/>
  <c r="B199" i="15"/>
  <c r="G198" i="15"/>
  <c r="B198" i="15"/>
  <c r="G197" i="15"/>
  <c r="B197" i="15"/>
  <c r="G196" i="15"/>
  <c r="B196" i="15"/>
  <c r="G195" i="15"/>
  <c r="B195" i="15"/>
  <c r="G194" i="15"/>
  <c r="B194" i="15"/>
  <c r="G193" i="15"/>
  <c r="B193" i="15"/>
  <c r="G192" i="15"/>
  <c r="B192" i="15"/>
  <c r="G191" i="15"/>
  <c r="B191" i="15"/>
  <c r="G190" i="15"/>
  <c r="B190" i="15"/>
  <c r="G189" i="15"/>
  <c r="B189" i="15"/>
  <c r="G188" i="15"/>
  <c r="B188" i="15"/>
  <c r="G187" i="15"/>
  <c r="B187" i="15"/>
  <c r="G186" i="15"/>
  <c r="B186" i="15"/>
  <c r="G185" i="15"/>
  <c r="B185" i="15"/>
  <c r="G184" i="15"/>
  <c r="B184" i="15"/>
  <c r="G183" i="15"/>
  <c r="B183" i="15"/>
  <c r="G182" i="15"/>
  <c r="B182" i="15"/>
  <c r="G181" i="15"/>
  <c r="B181" i="15"/>
  <c r="G180" i="15"/>
  <c r="B180" i="15"/>
  <c r="G179" i="15"/>
  <c r="B179" i="15"/>
  <c r="G178" i="15"/>
  <c r="B178" i="15"/>
  <c r="G177" i="15"/>
  <c r="B177" i="15"/>
  <c r="G176" i="15"/>
  <c r="B176" i="15"/>
  <c r="G175" i="15"/>
  <c r="B175" i="15"/>
  <c r="G174" i="15"/>
  <c r="B174" i="15"/>
  <c r="G173" i="15"/>
  <c r="B173" i="15"/>
  <c r="G172" i="15"/>
  <c r="B172" i="15"/>
  <c r="G171" i="15"/>
  <c r="B171" i="15"/>
  <c r="G170" i="15"/>
  <c r="B170" i="15"/>
  <c r="G169" i="15"/>
  <c r="B169" i="15"/>
  <c r="G168" i="15"/>
  <c r="B168" i="15"/>
  <c r="G167" i="15"/>
  <c r="B167" i="15"/>
  <c r="G166" i="15"/>
  <c r="B166" i="15"/>
  <c r="G165" i="15"/>
  <c r="B165" i="15"/>
  <c r="G164" i="15"/>
  <c r="B164" i="15"/>
  <c r="G163" i="15"/>
  <c r="B163" i="15"/>
  <c r="G162" i="15"/>
  <c r="B162" i="15"/>
  <c r="G161" i="15"/>
  <c r="B161" i="15"/>
  <c r="G160" i="15"/>
  <c r="B160" i="15"/>
  <c r="G159" i="15"/>
  <c r="B159" i="15"/>
  <c r="G158" i="15"/>
  <c r="B158" i="15"/>
  <c r="G157" i="15"/>
  <c r="B157" i="15"/>
  <c r="G156" i="15"/>
  <c r="B156" i="15"/>
  <c r="G155" i="15"/>
  <c r="B155" i="15"/>
  <c r="G154" i="15"/>
  <c r="B154" i="15"/>
  <c r="G153" i="15"/>
  <c r="B153" i="15"/>
  <c r="G152" i="15"/>
  <c r="B152" i="15"/>
  <c r="G151" i="15"/>
  <c r="B151" i="15"/>
  <c r="G150" i="15"/>
  <c r="B150" i="15"/>
  <c r="G149" i="15"/>
  <c r="B149" i="15"/>
  <c r="G148" i="15"/>
  <c r="B148" i="15"/>
  <c r="G147" i="15"/>
  <c r="B147" i="15"/>
  <c r="G146" i="15"/>
  <c r="B146" i="15"/>
  <c r="G145" i="15"/>
  <c r="B145" i="15"/>
  <c r="G144" i="15"/>
  <c r="B144" i="15"/>
  <c r="G143" i="15"/>
  <c r="B143" i="15"/>
  <c r="G142" i="15"/>
  <c r="B142" i="15"/>
  <c r="G141" i="15"/>
  <c r="B141" i="15"/>
  <c r="G140" i="15"/>
  <c r="B140" i="15"/>
  <c r="G139" i="15"/>
  <c r="B139" i="15"/>
  <c r="G138" i="15"/>
  <c r="B138" i="15"/>
  <c r="G137" i="15"/>
  <c r="B137" i="15"/>
  <c r="G136" i="15"/>
  <c r="B136" i="15"/>
  <c r="G135" i="15"/>
  <c r="B135" i="15"/>
  <c r="G134" i="15"/>
  <c r="B134" i="15"/>
  <c r="G133" i="15"/>
  <c r="B133" i="15"/>
  <c r="G132" i="15"/>
  <c r="B132" i="15"/>
  <c r="G131" i="15"/>
  <c r="B131" i="15"/>
  <c r="G130" i="15"/>
  <c r="B130" i="15"/>
  <c r="G129" i="15"/>
  <c r="B129" i="15"/>
  <c r="G128" i="15"/>
  <c r="B128" i="15"/>
  <c r="G127" i="15"/>
  <c r="B127" i="15"/>
  <c r="G126" i="15"/>
  <c r="B126" i="15"/>
  <c r="G125" i="15"/>
  <c r="B125" i="15"/>
  <c r="G124" i="15"/>
  <c r="B124" i="15"/>
  <c r="G123" i="15"/>
  <c r="B123" i="15"/>
  <c r="G122" i="15"/>
  <c r="B122" i="15"/>
  <c r="G121" i="15"/>
  <c r="B121" i="15"/>
  <c r="G120" i="15"/>
  <c r="B120" i="15"/>
  <c r="G119" i="15"/>
  <c r="B119" i="15"/>
  <c r="G118" i="15"/>
  <c r="B118" i="15"/>
  <c r="G117" i="15"/>
  <c r="B117" i="15"/>
  <c r="G116" i="15"/>
  <c r="B116" i="15"/>
  <c r="G115" i="15"/>
  <c r="B115" i="15"/>
  <c r="G114" i="15"/>
  <c r="B114" i="15"/>
  <c r="G113" i="15"/>
  <c r="B113" i="15"/>
  <c r="G112" i="15"/>
  <c r="B112" i="15"/>
  <c r="G111" i="15"/>
  <c r="B111" i="15"/>
  <c r="G110" i="15"/>
  <c r="B110" i="15"/>
  <c r="G109" i="15"/>
  <c r="B109" i="15"/>
  <c r="G108" i="15"/>
  <c r="B108" i="15"/>
  <c r="G107" i="15"/>
  <c r="B107" i="15"/>
  <c r="G106" i="15"/>
  <c r="B106" i="15"/>
  <c r="G105" i="15"/>
  <c r="B105" i="15"/>
  <c r="G104" i="15"/>
  <c r="B104" i="15"/>
  <c r="G103" i="15"/>
  <c r="B103" i="15"/>
  <c r="G102" i="15"/>
  <c r="B102" i="15"/>
  <c r="G101" i="15"/>
  <c r="B101" i="15"/>
  <c r="G100" i="15"/>
  <c r="B100" i="15"/>
  <c r="G99" i="15"/>
  <c r="B99" i="15"/>
  <c r="G98" i="15"/>
  <c r="B98" i="15"/>
  <c r="G97" i="15"/>
  <c r="B97" i="15"/>
  <c r="G96" i="15"/>
  <c r="B96" i="15"/>
  <c r="G95" i="15"/>
  <c r="B95" i="15"/>
  <c r="G94" i="15"/>
  <c r="B94" i="15"/>
  <c r="G93" i="15"/>
  <c r="B93" i="15"/>
  <c r="G92" i="15"/>
  <c r="B92" i="15"/>
  <c r="G91" i="15"/>
  <c r="B91" i="15"/>
  <c r="G90" i="15"/>
  <c r="B90" i="15"/>
  <c r="G89" i="15"/>
  <c r="B89" i="15"/>
  <c r="G88" i="15"/>
  <c r="B88" i="15"/>
  <c r="G87" i="15"/>
  <c r="B87" i="15"/>
  <c r="G86" i="15"/>
  <c r="B86" i="15"/>
  <c r="G85" i="15"/>
  <c r="B85" i="15"/>
  <c r="G84" i="15"/>
  <c r="B84" i="15"/>
  <c r="G83" i="15"/>
  <c r="B83" i="15"/>
  <c r="G82" i="15"/>
  <c r="B82" i="15"/>
  <c r="G81" i="15"/>
  <c r="B81" i="15"/>
  <c r="G80" i="15"/>
  <c r="B80" i="15"/>
  <c r="G79" i="15"/>
  <c r="B79" i="15"/>
  <c r="G78" i="15"/>
  <c r="B78" i="15"/>
  <c r="G77" i="15"/>
  <c r="B77" i="15"/>
  <c r="G76" i="15"/>
  <c r="B76" i="15"/>
  <c r="G75" i="15"/>
  <c r="B75" i="15"/>
  <c r="G74" i="15"/>
  <c r="B74" i="15"/>
  <c r="G73" i="15"/>
  <c r="B73" i="15"/>
  <c r="G72" i="15"/>
  <c r="B72" i="15"/>
  <c r="G71" i="15"/>
  <c r="B71" i="15"/>
  <c r="G70" i="15"/>
  <c r="B70" i="15"/>
  <c r="G69" i="15"/>
  <c r="B69" i="15"/>
  <c r="G68" i="15"/>
  <c r="B68" i="15"/>
  <c r="G67" i="15"/>
  <c r="B67" i="15"/>
  <c r="G66" i="15"/>
  <c r="B66" i="15"/>
  <c r="G65" i="15"/>
  <c r="B65" i="15"/>
  <c r="G64" i="15"/>
  <c r="B64" i="15"/>
  <c r="G63" i="15"/>
  <c r="B63" i="15"/>
  <c r="G62" i="15"/>
  <c r="B62" i="15"/>
  <c r="G61" i="15"/>
  <c r="B61" i="15"/>
  <c r="G60" i="15"/>
  <c r="B60" i="15"/>
  <c r="G59" i="15"/>
  <c r="B59" i="15"/>
  <c r="G58" i="15"/>
  <c r="B58" i="15"/>
  <c r="G57" i="15"/>
  <c r="B57" i="15"/>
  <c r="G56" i="15"/>
  <c r="B56" i="15"/>
  <c r="G55" i="15"/>
  <c r="B55" i="15"/>
  <c r="G54" i="15"/>
  <c r="B54" i="15"/>
  <c r="G53" i="15"/>
  <c r="B53" i="15"/>
  <c r="G52" i="15"/>
  <c r="B52" i="15"/>
  <c r="G51" i="15"/>
  <c r="B51" i="15"/>
  <c r="G50" i="15"/>
  <c r="B50" i="15"/>
  <c r="G49" i="15"/>
  <c r="B49" i="15"/>
  <c r="G48" i="15"/>
  <c r="B48" i="15"/>
  <c r="G47" i="15"/>
  <c r="B47" i="15"/>
  <c r="G46" i="15"/>
  <c r="B46" i="15"/>
  <c r="G45" i="15"/>
  <c r="B45" i="15"/>
  <c r="G44" i="15"/>
  <c r="B44" i="15"/>
  <c r="G43" i="15"/>
  <c r="B43" i="15"/>
  <c r="G42" i="15"/>
  <c r="B42" i="15"/>
  <c r="G41" i="15"/>
  <c r="B41" i="15"/>
  <c r="G40" i="15"/>
  <c r="B40" i="15"/>
  <c r="G39" i="15"/>
  <c r="B39" i="15"/>
  <c r="G38" i="15"/>
  <c r="B38" i="15"/>
  <c r="G37" i="15"/>
  <c r="B37" i="15"/>
  <c r="G36" i="15"/>
  <c r="B36" i="15"/>
  <c r="G35" i="15"/>
  <c r="B35" i="15"/>
  <c r="G34" i="15"/>
  <c r="B34" i="15"/>
  <c r="G33" i="15"/>
  <c r="B33" i="15"/>
  <c r="G32" i="15"/>
  <c r="B32" i="15"/>
  <c r="G31" i="15"/>
  <c r="B31" i="15"/>
  <c r="G30" i="15"/>
  <c r="B30" i="15"/>
  <c r="G29" i="15"/>
  <c r="B29" i="15"/>
  <c r="G28" i="15"/>
  <c r="B28" i="15"/>
  <c r="G27" i="15"/>
  <c r="B27" i="15"/>
  <c r="G26" i="15"/>
  <c r="B26" i="15"/>
  <c r="G25" i="15"/>
  <c r="B25" i="15"/>
  <c r="G24" i="15"/>
  <c r="B24" i="15"/>
  <c r="G23" i="15"/>
  <c r="B23" i="15"/>
  <c r="G22" i="15"/>
  <c r="B22" i="15"/>
  <c r="G21" i="15"/>
  <c r="B21" i="15"/>
  <c r="G20" i="15"/>
  <c r="B20" i="15"/>
  <c r="G19" i="15"/>
  <c r="B19" i="15"/>
  <c r="G18" i="15"/>
  <c r="B18" i="15"/>
  <c r="G17" i="15"/>
  <c r="B17" i="15"/>
  <c r="G16" i="15"/>
  <c r="B16" i="15"/>
  <c r="G15" i="15"/>
  <c r="B15" i="15"/>
  <c r="G14" i="15"/>
  <c r="B14" i="15"/>
  <c r="B13" i="15"/>
  <c r="B12" i="15"/>
  <c r="B11" i="15"/>
  <c r="B10" i="15"/>
  <c r="B9" i="15"/>
  <c r="G8" i="15"/>
  <c r="B8" i="15"/>
  <c r="B15" i="23"/>
  <c r="B14" i="23"/>
  <c r="B13" i="23"/>
  <c r="B12" i="23"/>
  <c r="B11" i="23"/>
  <c r="B10" i="23"/>
  <c r="B9" i="23"/>
  <c r="F33" i="20"/>
  <c r="F32" i="20"/>
  <c r="D28" i="20"/>
  <c r="D29" i="20" s="1"/>
  <c r="E27" i="20" s="1"/>
  <c r="C23" i="20" l="1"/>
  <c r="E28" i="20"/>
  <c r="E29" i="20" s="1"/>
  <c r="D23" i="20"/>
  <c r="E10" i="20" s="1"/>
  <c r="F23" i="20"/>
  <c r="E12" i="20" s="1"/>
  <c r="E23" i="20" l="1"/>
  <c r="E11" i="20" s="1"/>
  <c r="G23" i="20"/>
  <c r="E9"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B4" authorId="0" shapeId="0" xr:uid="{00000000-0006-0000-0000-000001000000}">
      <text>
        <r>
          <rPr>
            <sz val="8"/>
            <color indexed="81"/>
            <rFont val="Tahoma"/>
            <family val="2"/>
          </rPr>
          <t>Automatically created for a New Project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Kristoffer Steen Andersen</author>
  </authors>
  <commentList>
    <comment ref="G6" authorId="0" shapeId="0" xr:uid="{00000000-0006-0000-0600-000001000000}">
      <text>
        <r>
          <rPr>
            <sz val="8"/>
            <color indexed="81"/>
            <rFont val="Tahoma"/>
            <family val="2"/>
          </rPr>
          <t xml:space="preserve">Possible definitions
</t>
        </r>
        <r>
          <rPr>
            <b/>
            <sz val="8"/>
            <color indexed="81"/>
            <rFont val="Tahoma"/>
            <family val="2"/>
          </rPr>
          <t xml:space="preserve">Y </t>
        </r>
        <r>
          <rPr>
            <sz val="8"/>
            <color indexed="81"/>
            <rFont val="Tahoma"/>
            <family val="2"/>
          </rPr>
          <t xml:space="preserve">or a </t>
        </r>
        <r>
          <rPr>
            <b/>
            <sz val="8"/>
            <color indexed="81"/>
            <rFont val="Tahoma"/>
            <family val="2"/>
          </rPr>
          <t>positive number</t>
        </r>
        <r>
          <rPr>
            <sz val="8"/>
            <color indexed="81"/>
            <rFont val="Tahoma"/>
            <family val="2"/>
          </rPr>
          <t xml:space="preserve"> (mean apply this User CG in that region)
Empty mean this User CG is not applied in that region</t>
        </r>
      </text>
    </comment>
    <comment ref="J7" authorId="1" shapeId="0" xr:uid="{80075E24-09F7-4BCC-9095-E1D52EE7884B}">
      <text>
        <r>
          <rPr>
            <sz val="9"/>
            <color indexed="81"/>
            <rFont val="Tahoma"/>
            <family val="2"/>
          </rPr>
          <t xml:space="preserve">The information in the table below is copied manually from the workbook Sets-DemoModels.xlsx, specifically from 'TIMESreport_Sets-Comm'!A2:C11.
This is done because currently syssetting.xlsx and subres are the only files in VEDA that allow you to add information to the ~TFM_COMGRP.
The role of ~TFM_COMGRP is that it adds the commodity sets so that they are available in the TIMES solution output file generated when solving the model in GAMS.
By having information on commodity groups in the TIMES solution output file, we can access the information in the timesreport.gms script.
</t>
        </r>
        <r>
          <rPr>
            <b/>
            <sz val="9"/>
            <color indexed="81"/>
            <rFont val="Tahoma"/>
            <family val="2"/>
          </rPr>
          <t>Note</t>
        </r>
        <r>
          <rPr>
            <sz val="9"/>
            <color indexed="81"/>
            <rFont val="Tahoma"/>
            <family val="2"/>
          </rPr>
          <t>: if you create additional commodity groups in Sets-DemoModels.xlsx, then you need to manually copy the new sets to syssetting.xlsx.</t>
        </r>
        <r>
          <rPr>
            <b/>
            <sz val="9"/>
            <color indexed="81"/>
            <rFont val="Tahoma"/>
            <charset val="1"/>
          </rPr>
          <t xml:space="preserve">
</t>
        </r>
        <r>
          <rPr>
            <b/>
            <u/>
            <sz val="9"/>
            <color indexed="81"/>
            <rFont val="Tahoma"/>
            <family val="2"/>
          </rPr>
          <t>Future improvement</t>
        </r>
        <r>
          <rPr>
            <b/>
            <sz val="9"/>
            <color indexed="81"/>
            <rFont val="Tahoma"/>
            <charset val="1"/>
          </rPr>
          <t xml:space="preserve">
</t>
        </r>
        <r>
          <rPr>
            <sz val="9"/>
            <color indexed="81"/>
            <rFont val="Tahoma"/>
            <family val="2"/>
          </rPr>
          <t xml:space="preserve">Perhaps a future version of VEDA could allow for the definition of TFM_COMGRP directly inside the Sets-DemoModels.xlsx. If this happens, then this step of timesreport could be skipped. </t>
        </r>
      </text>
    </comment>
  </commentList>
</comments>
</file>

<file path=xl/sharedStrings.xml><?xml version="1.0" encoding="utf-8"?>
<sst xmlns="http://schemas.openxmlformats.org/spreadsheetml/2006/main" count="223" uniqueCount="145">
  <si>
    <t>~TFM_UPD</t>
  </si>
  <si>
    <t>IMP*Z</t>
  </si>
  <si>
    <t>AllRegions</t>
  </si>
  <si>
    <t>Other_Indexes</t>
  </si>
  <si>
    <t>ACTCOST</t>
  </si>
  <si>
    <t>IMPDEMZ</t>
  </si>
  <si>
    <t>User-Defined CG</t>
  </si>
  <si>
    <t>Name</t>
  </si>
  <si>
    <t>Description</t>
  </si>
  <si>
    <t>~BookRegions_Map</t>
  </si>
  <si>
    <t>~TimePeriods</t>
  </si>
  <si>
    <t>~TimeSlices</t>
  </si>
  <si>
    <t>Season</t>
  </si>
  <si>
    <t>Weekly</t>
  </si>
  <si>
    <t>DayNite</t>
  </si>
  <si>
    <t>BookName</t>
  </si>
  <si>
    <t>Region</t>
  </si>
  <si>
    <t>IRE</t>
  </si>
  <si>
    <t>~TFM_INS</t>
  </si>
  <si>
    <t>TimeSlice</t>
  </si>
  <si>
    <t>LimType</t>
  </si>
  <si>
    <t>Attribute</t>
  </si>
  <si>
    <t>Year</t>
  </si>
  <si>
    <t>Pset_Set</t>
  </si>
  <si>
    <t>Pset_PN</t>
  </si>
  <si>
    <t>Pset_CI</t>
  </si>
  <si>
    <t>Pset_CO</t>
  </si>
  <si>
    <t>Cset_Set</t>
  </si>
  <si>
    <t>Cset_CN</t>
  </si>
  <si>
    <t>Cset_CD</t>
  </si>
  <si>
    <t>Pset_PD</t>
  </si>
  <si>
    <t>~ImpSettings</t>
  </si>
  <si>
    <t>Option</t>
  </si>
  <si>
    <t>Value</t>
  </si>
  <si>
    <t>Check #DIV/0 and #REF errors in Templates</t>
  </si>
  <si>
    <t>Create Dummy Imports for Energy and Material Commodities</t>
  </si>
  <si>
    <t>Create Dummy Imports for Demands</t>
  </si>
  <si>
    <t>Generate Vintage Bounds</t>
  </si>
  <si>
    <t>~StartYear</t>
  </si>
  <si>
    <t>~ActivePDef</t>
  </si>
  <si>
    <t>Pdef-1</t>
  </si>
  <si>
    <t>* Define the explicit commodity groups needed</t>
  </si>
  <si>
    <t>\I:Commodity Group Name</t>
  </si>
  <si>
    <t>Commodity Group Description</t>
  </si>
  <si>
    <t>Dummy Imp Prices</t>
  </si>
  <si>
    <t>*Set a default price or apply a factor for those IMPorts with "Z" in the name.</t>
  </si>
  <si>
    <t>Discount</t>
  </si>
  <si>
    <t>* Define constants for the model</t>
  </si>
  <si>
    <t>~Currencies</t>
  </si>
  <si>
    <t>Currency</t>
  </si>
  <si>
    <t>~DefUnits</t>
  </si>
  <si>
    <t>Process_ActUnit</t>
  </si>
  <si>
    <t>Process_CapUnit</t>
  </si>
  <si>
    <t>Commodity_Unit</t>
  </si>
  <si>
    <t>REG1</t>
  </si>
  <si>
    <t>YRFR</t>
  </si>
  <si>
    <t>G_DYEAR</t>
  </si>
  <si>
    <t>PJ</t>
  </si>
  <si>
    <t>PRI</t>
  </si>
  <si>
    <t>Pja</t>
  </si>
  <si>
    <t>COM_IE</t>
  </si>
  <si>
    <t>ELC</t>
  </si>
  <si>
    <t>Time slices</t>
  </si>
  <si>
    <t>SD</t>
  </si>
  <si>
    <t>SN</t>
  </si>
  <si>
    <t>WD</t>
  </si>
  <si>
    <t>WN</t>
  </si>
  <si>
    <t>Summer Day</t>
  </si>
  <si>
    <t>Summer Night</t>
  </si>
  <si>
    <t>Winter Day</t>
  </si>
  <si>
    <t>Winter Night</t>
  </si>
  <si>
    <t>Seasons</t>
  </si>
  <si>
    <t>N. of Days</t>
  </si>
  <si>
    <t>Fraction</t>
  </si>
  <si>
    <t>Summer</t>
  </si>
  <si>
    <t>S</t>
  </si>
  <si>
    <t>Winter</t>
  </si>
  <si>
    <t xml:space="preserve">W </t>
  </si>
  <si>
    <t>Day</t>
  </si>
  <si>
    <t>Night</t>
  </si>
  <si>
    <t>W</t>
  </si>
  <si>
    <t>D</t>
  </si>
  <si>
    <t>N</t>
  </si>
  <si>
    <t>REG2</t>
  </si>
  <si>
    <t>Pdef-5</t>
  </si>
  <si>
    <t>DumVarforUC</t>
  </si>
  <si>
    <t>UP</t>
  </si>
  <si>
    <t>ACT_BND</t>
  </si>
  <si>
    <t>Share-O</t>
  </si>
  <si>
    <t>Share-I</t>
  </si>
  <si>
    <t>Pdef-11</t>
  </si>
  <si>
    <t>GW</t>
  </si>
  <si>
    <t>IND</t>
  </si>
  <si>
    <t>RCA</t>
  </si>
  <si>
    <t>TRA</t>
  </si>
  <si>
    <t>kPk</t>
  </si>
  <si>
    <t>000_Units</t>
  </si>
  <si>
    <t>MEuro05</t>
  </si>
  <si>
    <t>chkDoTAGSQC</t>
  </si>
  <si>
    <t>UseSQLDatabase</t>
  </si>
  <si>
    <t>~TFM_MIG</t>
  </si>
  <si>
    <t>Year2</t>
  </si>
  <si>
    <t>Switch</t>
  </si>
  <si>
    <t>FLO~1</t>
  </si>
  <si>
    <t>No</t>
  </si>
  <si>
    <t>Report Value flows at commodity TS level</t>
  </si>
  <si>
    <t>FLO~3</t>
  </si>
  <si>
    <t>Yes</t>
  </si>
  <si>
    <t>Report value flows by process</t>
  </si>
  <si>
    <t>FLO~5</t>
  </si>
  <si>
    <t>Report electricity supply by energy source</t>
  </si>
  <si>
    <t>FLO~7</t>
  </si>
  <si>
    <t>Report process topology indicators</t>
  </si>
  <si>
    <t>COMPRD~1</t>
  </si>
  <si>
    <t>Report VAR_COMPRD for all commodities</t>
  </si>
  <si>
    <t>NCAP~1</t>
  </si>
  <si>
    <t>Activiate levelised cost calculation</t>
  </si>
  <si>
    <t>OBJ~1</t>
  </si>
  <si>
    <t>Split investment according to hurdle rate</t>
  </si>
  <si>
    <t>y</t>
  </si>
  <si>
    <t>TIMESReport</t>
  </si>
  <si>
    <t>NRG_ELC</t>
  </si>
  <si>
    <t>Electricity</t>
  </si>
  <si>
    <t>comgroup</t>
  </si>
  <si>
    <t>NRG_GAS</t>
  </si>
  <si>
    <t>Gas</t>
  </si>
  <si>
    <t>NRG_NUK</t>
  </si>
  <si>
    <t>Nuclear</t>
  </si>
  <si>
    <t>NRG_OIL</t>
  </si>
  <si>
    <t>Oil</t>
  </si>
  <si>
    <t>NRG_RNW</t>
  </si>
  <si>
    <t>Renewable</t>
  </si>
  <si>
    <t>NRG_COA</t>
  </si>
  <si>
    <t>Coal</t>
  </si>
  <si>
    <t>NRG_BIO</t>
  </si>
  <si>
    <t>Biomass</t>
  </si>
  <si>
    <t>~TFM_COMGRP</t>
  </si>
  <si>
    <t>ENV_CO2</t>
  </si>
  <si>
    <t>DEM_COM</t>
  </si>
  <si>
    <t>Demand commodity</t>
  </si>
  <si>
    <t>GHG-emission</t>
  </si>
  <si>
    <t>Other_indexes</t>
  </si>
  <si>
    <t>RFCmd_FLAGS</t>
  </si>
  <si>
    <t>$SET MEMCLEAN NO</t>
  </si>
  <si>
    <t>$SET ANNCOST LEV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</si>
</sst>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0"/>
    <numFmt numFmtId="165" formatCode="_([$€]* #,##0.00_);_([$€]* \(#,##0.00\);_([$€]* &quot;-&quot;??_);_(@_)"/>
    <numFmt numFmtId="169" formatCode="_-* #,##0.00_-;\-* #,##0.00_-;_-* &quot;-&quot;??_-;_-@_-"/>
  </numFmts>
  <fonts count="3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b/>
      <sz val="10"/>
      <color indexed="12"/>
      <name val="Arial"/>
      <family val="2"/>
    </font>
    <font>
      <sz val="8"/>
      <color indexed="81"/>
      <name val="Tahoma"/>
      <family val="2"/>
    </font>
    <font>
      <sz val="8"/>
      <name val="Arial"/>
      <family val="2"/>
    </font>
    <font>
      <sz val="10"/>
      <name val="Arial"/>
      <family val="2"/>
    </font>
    <font>
      <sz val="12"/>
      <color indexed="12"/>
      <name val="Arial"/>
      <family val="2"/>
    </font>
    <font>
      <b/>
      <sz val="8"/>
      <color indexed="81"/>
      <name val="Tahoma"/>
      <family val="2"/>
    </font>
    <font>
      <sz val="10"/>
      <name val="Courier"/>
      <family val="3"/>
    </font>
    <font>
      <sz val="12"/>
      <color indexed="53"/>
      <name val="Arial"/>
      <family val="2"/>
    </font>
    <font>
      <sz val="14"/>
      <color indexed="9"/>
      <name val="Arial"/>
      <family val="2"/>
    </font>
    <font>
      <sz val="10"/>
      <color indexed="9"/>
      <name val="Arial"/>
      <family val="2"/>
    </font>
    <font>
      <b/>
      <sz val="9"/>
      <name val="Arial"/>
      <family val="2"/>
    </font>
    <font>
      <sz val="9"/>
      <name val="Arial"/>
      <family val="2"/>
    </font>
    <font>
      <sz val="10"/>
      <name val="Arial"/>
    </font>
    <font>
      <b/>
      <sz val="10"/>
      <color rgb="FF0000FF"/>
      <name val="Arial"/>
      <family val="2"/>
    </font>
    <font>
      <sz val="10"/>
      <color theme="1"/>
      <name val="Arial"/>
      <family val="2"/>
    </font>
    <font>
      <b/>
      <sz val="11"/>
      <color theme="1"/>
      <name val="Calibri"/>
      <family val="2"/>
      <scheme val="minor"/>
    </font>
    <font>
      <b/>
      <sz val="10"/>
      <color theme="1"/>
      <name val="Arial"/>
    </font>
    <font>
      <sz val="9"/>
      <color indexed="8"/>
      <name val="Times New Roman"/>
      <family val="1"/>
    </font>
    <font>
      <sz val="9"/>
      <name val="Times New Roman"/>
      <family val="1"/>
    </font>
    <font>
      <b/>
      <sz val="9"/>
      <name val="Times New Roman"/>
      <family val="1"/>
    </font>
    <font>
      <b/>
      <sz val="9"/>
      <color indexed="81"/>
      <name val="Tahoma"/>
      <charset val="1"/>
    </font>
    <font>
      <b/>
      <u/>
      <sz val="9"/>
      <color indexed="81"/>
      <name val="Tahoma"/>
      <family val="2"/>
    </font>
    <font>
      <sz val="9"/>
      <color indexed="81"/>
      <name val="Tahoma"/>
      <family val="2"/>
    </font>
    <font>
      <b/>
      <sz val="9"/>
      <color indexed="81"/>
      <name val="Tahoma"/>
      <family val="2"/>
    </font>
    <font>
      <sz val="11"/>
      <color rgb="FF404040"/>
      <name val="Arial"/>
      <family val="2"/>
    </font>
  </fonts>
  <fills count="13">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43"/>
        <bgColor indexed="64"/>
      </patternFill>
    </fill>
    <fill>
      <patternFill patternType="solid">
        <fgColor indexed="12"/>
        <bgColor indexed="64"/>
      </patternFill>
    </fill>
    <fill>
      <patternFill patternType="solid">
        <fgColor indexed="42"/>
        <bgColor indexed="64"/>
      </patternFill>
    </fill>
    <fill>
      <patternFill patternType="solid">
        <fgColor rgb="FFFFFF80"/>
        <bgColor indexed="64"/>
      </patternFill>
    </fill>
    <fill>
      <patternFill patternType="solid">
        <fgColor rgb="FFFA72EC"/>
        <bgColor indexed="64"/>
      </patternFill>
    </fill>
    <fill>
      <patternFill patternType="solid">
        <fgColor rgb="FFFFFF00"/>
        <bgColor indexed="64"/>
      </patternFill>
    </fill>
    <fill>
      <patternFill patternType="solid">
        <fgColor rgb="FFFFFF99"/>
        <bgColor indexed="64"/>
      </patternFill>
    </fill>
    <fill>
      <patternFill patternType="solid">
        <fgColor indexed="47"/>
        <bgColor indexed="64"/>
      </patternFill>
    </fill>
    <fill>
      <patternFill patternType="solid">
        <fgColor indexed="55"/>
        <bgColor indexed="64"/>
      </patternFill>
    </fill>
  </fills>
  <borders count="18">
    <border>
      <left/>
      <right/>
      <top/>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0"/>
      </right>
      <top style="thin">
        <color indexed="64"/>
      </top>
      <bottom style="thin">
        <color indexed="64"/>
      </bottom>
      <diagonal/>
    </border>
    <border>
      <left style="medium">
        <color auto="1"/>
      </left>
      <right/>
      <top style="thin">
        <color auto="1"/>
      </top>
      <bottom style="thin">
        <color auto="1"/>
      </bottom>
      <diagonal/>
    </border>
  </borders>
  <cellStyleXfs count="43">
    <xf numFmtId="0" fontId="0" fillId="0" borderId="0"/>
    <xf numFmtId="43" fontId="18" fillId="0" borderId="0" applyFont="0" applyFill="0" applyBorder="0" applyAlignment="0" applyProtection="0"/>
    <xf numFmtId="0" fontId="9" fillId="0" borderId="0"/>
    <xf numFmtId="0" fontId="9" fillId="0" borderId="0"/>
    <xf numFmtId="0" fontId="12" fillId="0" borderId="0"/>
    <xf numFmtId="0" fontId="9" fillId="0" borderId="0"/>
    <xf numFmtId="0" fontId="4" fillId="0" borderId="0"/>
    <xf numFmtId="0" fontId="4" fillId="0" borderId="0"/>
    <xf numFmtId="0" fontId="9" fillId="0" borderId="0" applyNumberFormat="0" applyFont="0" applyFill="0" applyBorder="0" applyProtection="0">
      <alignment horizontal="left" vertical="center" indent="5"/>
    </xf>
    <xf numFmtId="4" fontId="23" fillId="11" borderId="3">
      <alignment horizontal="right" vertical="center"/>
    </xf>
    <xf numFmtId="4" fontId="23" fillId="11" borderId="3">
      <alignment horizontal="right" vertical="center"/>
    </xf>
    <xf numFmtId="0" fontId="24" fillId="0" borderId="17">
      <alignment horizontal="left" vertical="center" wrapText="1" indent="2"/>
    </xf>
    <xf numFmtId="165" fontId="9" fillId="0" borderId="0" applyFont="0" applyFill="0" applyBorder="0" applyAlignment="0" applyProtection="0"/>
    <xf numFmtId="4" fontId="24" fillId="0" borderId="0" applyBorder="0">
      <alignment horizontal="right" vertical="center"/>
    </xf>
    <xf numFmtId="0" fontId="4" fillId="0" borderId="0"/>
    <xf numFmtId="0" fontId="9" fillId="0" borderId="0"/>
    <xf numFmtId="4" fontId="24" fillId="0" borderId="3" applyFill="0" applyBorder="0" applyProtection="0">
      <alignment horizontal="right" vertical="center"/>
    </xf>
    <xf numFmtId="0" fontId="25" fillId="0" borderId="0" applyNumberFormat="0" applyFill="0" applyBorder="0" applyProtection="0">
      <alignment horizontal="left" vertical="center"/>
    </xf>
    <xf numFmtId="0" fontId="9" fillId="12" borderId="0" applyNumberFormat="0" applyFont="0" applyBorder="0" applyAlignment="0" applyProtection="0"/>
    <xf numFmtId="9" fontId="9" fillId="0" borderId="0" applyFont="0" applyFill="0" applyBorder="0" applyAlignment="0" applyProtection="0"/>
    <xf numFmtId="4" fontId="24" fillId="0" borderId="0"/>
    <xf numFmtId="0" fontId="9" fillId="0" borderId="0"/>
    <xf numFmtId="0" fontId="9" fillId="0" borderId="0"/>
    <xf numFmtId="0" fontId="9" fillId="0" borderId="0"/>
    <xf numFmtId="0" fontId="3" fillId="0" borderId="0"/>
    <xf numFmtId="0" fontId="3" fillId="0" borderId="0"/>
    <xf numFmtId="0" fontId="3"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cellStyleXfs>
  <cellXfs count="78">
    <xf numFmtId="0" fontId="0" fillId="0" borderId="0" xfId="0"/>
    <xf numFmtId="0" fontId="6" fillId="0" borderId="0" xfId="0" applyFont="1"/>
    <xf numFmtId="0" fontId="5" fillId="2" borderId="0" xfId="0" applyFont="1" applyFill="1"/>
    <xf numFmtId="0" fontId="5" fillId="0" borderId="0" xfId="0" applyFont="1"/>
    <xf numFmtId="0" fontId="0" fillId="3" borderId="0" xfId="0" applyFill="1"/>
    <xf numFmtId="0" fontId="9" fillId="4" borderId="1" xfId="0" applyFont="1" applyFill="1" applyBorder="1"/>
    <xf numFmtId="0" fontId="13" fillId="0" borderId="0" xfId="0" applyFont="1"/>
    <xf numFmtId="0" fontId="10" fillId="0" borderId="0" xfId="0" applyFont="1"/>
    <xf numFmtId="0" fontId="14" fillId="5" borderId="0" xfId="0" applyFont="1" applyFill="1" applyAlignment="1">
      <alignment horizontal="left"/>
    </xf>
    <xf numFmtId="0" fontId="6" fillId="0" borderId="0" xfId="2" applyFont="1"/>
    <xf numFmtId="0" fontId="9" fillId="0" borderId="0" xfId="2"/>
    <xf numFmtId="0" fontId="0" fillId="2" borderId="1" xfId="0" applyFill="1" applyBorder="1"/>
    <xf numFmtId="0" fontId="19" fillId="0" borderId="0" xfId="0" applyFont="1"/>
    <xf numFmtId="0" fontId="5" fillId="7" borderId="2" xfId="0" applyFont="1" applyFill="1" applyBorder="1"/>
    <xf numFmtId="0" fontId="0" fillId="8" borderId="0" xfId="0" applyFill="1"/>
    <xf numFmtId="0" fontId="9" fillId="0" borderId="0" xfId="0" applyFont="1"/>
    <xf numFmtId="2" fontId="9" fillId="0" borderId="0" xfId="2" applyNumberFormat="1"/>
    <xf numFmtId="0" fontId="9" fillId="9" borderId="1" xfId="0" applyFont="1" applyFill="1" applyBorder="1"/>
    <xf numFmtId="0" fontId="14" fillId="5" borderId="0" xfId="3" applyFont="1" applyFill="1"/>
    <xf numFmtId="0" fontId="15" fillId="5" borderId="0" xfId="3" applyFont="1" applyFill="1"/>
    <xf numFmtId="0" fontId="9" fillId="0" borderId="0" xfId="3"/>
    <xf numFmtId="0" fontId="8" fillId="0" borderId="0" xfId="2" applyFont="1" applyAlignment="1">
      <alignment horizontal="right"/>
    </xf>
    <xf numFmtId="0" fontId="16" fillId="4" borderId="3" xfId="2" applyFont="1" applyFill="1" applyBorder="1" applyAlignment="1">
      <alignment horizontal="left" vertical="center" wrapText="1"/>
    </xf>
    <xf numFmtId="0" fontId="16" fillId="4" borderId="4" xfId="2" applyFont="1" applyFill="1" applyBorder="1" applyAlignment="1">
      <alignment horizontal="center"/>
    </xf>
    <xf numFmtId="0" fontId="16" fillId="4" borderId="5" xfId="2" applyFont="1" applyFill="1" applyBorder="1" applyAlignment="1">
      <alignment horizontal="center"/>
    </xf>
    <xf numFmtId="0" fontId="16" fillId="4" borderId="6" xfId="2" applyFont="1" applyFill="1" applyBorder="1" applyAlignment="1">
      <alignment horizontal="center"/>
    </xf>
    <xf numFmtId="0" fontId="16" fillId="10" borderId="7" xfId="2" applyFont="1" applyFill="1" applyBorder="1" applyAlignment="1">
      <alignment horizontal="left" vertical="center" wrapText="1"/>
    </xf>
    <xf numFmtId="0" fontId="16" fillId="4" borderId="4" xfId="2" applyFont="1" applyFill="1" applyBorder="1" applyAlignment="1">
      <alignment horizontal="center" wrapText="1"/>
    </xf>
    <xf numFmtId="0" fontId="16" fillId="4" borderId="5" xfId="2" applyFont="1" applyFill="1" applyBorder="1" applyAlignment="1">
      <alignment horizontal="center" wrapText="1"/>
    </xf>
    <xf numFmtId="0" fontId="16" fillId="4" borderId="6" xfId="2" applyFont="1" applyFill="1" applyBorder="1" applyAlignment="1">
      <alignment horizontal="center" wrapText="1"/>
    </xf>
    <xf numFmtId="164" fontId="17" fillId="4" borderId="2" xfId="2" applyNumberFormat="1" applyFont="1" applyFill="1" applyBorder="1" applyAlignment="1">
      <alignment horizontal="center"/>
    </xf>
    <xf numFmtId="164" fontId="17" fillId="4" borderId="8" xfId="2" applyNumberFormat="1" applyFont="1" applyFill="1" applyBorder="1" applyAlignment="1">
      <alignment horizontal="center"/>
    </xf>
    <xf numFmtId="164" fontId="17" fillId="4" borderId="9" xfId="2" applyNumberFormat="1" applyFont="1" applyFill="1" applyBorder="1" applyAlignment="1">
      <alignment horizontal="center"/>
    </xf>
    <xf numFmtId="164" fontId="9" fillId="0" borderId="0" xfId="2" applyNumberFormat="1"/>
    <xf numFmtId="0" fontId="17" fillId="0" borderId="0" xfId="2" applyFont="1"/>
    <xf numFmtId="0" fontId="16" fillId="0" borderId="0" xfId="2" applyFont="1"/>
    <xf numFmtId="0" fontId="16" fillId="4" borderId="3" xfId="2" applyFont="1" applyFill="1" applyBorder="1" applyAlignment="1">
      <alignment horizontal="left"/>
    </xf>
    <xf numFmtId="0" fontId="16" fillId="4" borderId="9" xfId="2" quotePrefix="1" applyFont="1" applyFill="1" applyBorder="1" applyAlignment="1">
      <alignment horizontal="center"/>
    </xf>
    <xf numFmtId="0" fontId="16" fillId="4" borderId="9" xfId="2" applyFont="1" applyFill="1" applyBorder="1" applyAlignment="1">
      <alignment horizontal="center"/>
    </xf>
    <xf numFmtId="0" fontId="16" fillId="0" borderId="10" xfId="2" quotePrefix="1" applyFont="1" applyBorder="1" applyAlignment="1">
      <alignment horizontal="center"/>
    </xf>
    <xf numFmtId="0" fontId="16" fillId="4" borderId="11" xfId="2" applyFont="1" applyFill="1" applyBorder="1" applyAlignment="1">
      <alignment horizontal="left"/>
    </xf>
    <xf numFmtId="0" fontId="16" fillId="4" borderId="0" xfId="2" applyFont="1" applyFill="1" applyAlignment="1">
      <alignment horizontal="center"/>
    </xf>
    <xf numFmtId="0" fontId="17" fillId="4" borderId="7" xfId="2" applyFont="1" applyFill="1" applyBorder="1" applyAlignment="1">
      <alignment horizontal="center"/>
    </xf>
    <xf numFmtId="2" fontId="17" fillId="4" borderId="10" xfId="2" applyNumberFormat="1" applyFont="1" applyFill="1" applyBorder="1" applyAlignment="1">
      <alignment horizontal="center"/>
    </xf>
    <xf numFmtId="0" fontId="17" fillId="0" borderId="10" xfId="2" quotePrefix="1" applyFont="1" applyBorder="1" applyAlignment="1">
      <alignment horizontal="center"/>
    </xf>
    <xf numFmtId="0" fontId="16" fillId="4" borderId="12" xfId="2" applyFont="1" applyFill="1" applyBorder="1" applyAlignment="1">
      <alignment horizontal="left"/>
    </xf>
    <xf numFmtId="0" fontId="16" fillId="4" borderId="13" xfId="2" applyFont="1" applyFill="1" applyBorder="1" applyAlignment="1">
      <alignment horizontal="center"/>
    </xf>
    <xf numFmtId="0" fontId="17" fillId="4" borderId="12" xfId="2" applyFont="1" applyFill="1" applyBorder="1" applyAlignment="1">
      <alignment horizontal="center"/>
    </xf>
    <xf numFmtId="2" fontId="17" fillId="4" borderId="14" xfId="2" applyNumberFormat="1" applyFont="1" applyFill="1" applyBorder="1" applyAlignment="1">
      <alignment horizontal="center"/>
    </xf>
    <xf numFmtId="1" fontId="17" fillId="0" borderId="0" xfId="2" applyNumberFormat="1" applyFont="1" applyAlignment="1">
      <alignment horizontal="center"/>
    </xf>
    <xf numFmtId="2" fontId="17" fillId="0" borderId="0" xfId="2" applyNumberFormat="1" applyFont="1" applyAlignment="1">
      <alignment horizontal="center"/>
    </xf>
    <xf numFmtId="0" fontId="17" fillId="0" borderId="0" xfId="2" applyFont="1" applyAlignment="1">
      <alignment horizontal="center"/>
    </xf>
    <xf numFmtId="2" fontId="17" fillId="0" borderId="0" xfId="2" applyNumberFormat="1" applyFont="1" applyAlignment="1">
      <alignment horizontal="right"/>
    </xf>
    <xf numFmtId="0" fontId="16" fillId="0" borderId="15" xfId="2" applyFont="1" applyBorder="1"/>
    <xf numFmtId="0" fontId="16" fillId="4" borderId="2" xfId="2" applyFont="1" applyFill="1" applyBorder="1" applyAlignment="1">
      <alignment horizontal="center"/>
    </xf>
    <xf numFmtId="0" fontId="16" fillId="0" borderId="0" xfId="2" applyFont="1" applyAlignment="1">
      <alignment horizontal="center"/>
    </xf>
    <xf numFmtId="0" fontId="16" fillId="4" borderId="10" xfId="2" applyFont="1" applyFill="1" applyBorder="1" applyAlignment="1">
      <alignment horizontal="center"/>
    </xf>
    <xf numFmtId="0" fontId="17" fillId="4" borderId="4" xfId="2" applyFont="1" applyFill="1" applyBorder="1" applyAlignment="1">
      <alignment horizontal="center"/>
    </xf>
    <xf numFmtId="0" fontId="17" fillId="4" borderId="6" xfId="2" applyFont="1" applyFill="1" applyBorder="1" applyAlignment="1">
      <alignment horizontal="center"/>
    </xf>
    <xf numFmtId="0" fontId="16" fillId="4" borderId="14" xfId="2" applyFont="1" applyFill="1" applyBorder="1" applyAlignment="1">
      <alignment horizontal="center"/>
    </xf>
    <xf numFmtId="0" fontId="17" fillId="4" borderId="14" xfId="2" applyFont="1" applyFill="1" applyBorder="1" applyAlignment="1">
      <alignment horizontal="center"/>
    </xf>
    <xf numFmtId="0" fontId="17" fillId="4" borderId="15" xfId="2" applyFont="1" applyFill="1" applyBorder="1" applyAlignment="1">
      <alignment horizontal="center"/>
    </xf>
    <xf numFmtId="0" fontId="5" fillId="7" borderId="16" xfId="0" applyFont="1" applyFill="1" applyBorder="1"/>
    <xf numFmtId="0" fontId="9" fillId="8" borderId="0" xfId="0" applyFont="1" applyFill="1"/>
    <xf numFmtId="0" fontId="9" fillId="3" borderId="0" xfId="0" applyFont="1" applyFill="1"/>
    <xf numFmtId="0" fontId="0" fillId="7" borderId="2" xfId="0" applyFill="1" applyBorder="1"/>
    <xf numFmtId="0" fontId="0" fillId="7" borderId="8" xfId="0" applyFill="1" applyBorder="1"/>
    <xf numFmtId="0" fontId="0" fillId="7" borderId="9" xfId="0" applyFill="1" applyBorder="1"/>
    <xf numFmtId="0" fontId="20" fillId="0" borderId="0" xfId="0" applyFont="1"/>
    <xf numFmtId="0" fontId="20" fillId="9" borderId="0" xfId="0" applyFont="1" applyFill="1"/>
    <xf numFmtId="0" fontId="22" fillId="6" borderId="1" xfId="0" applyFont="1" applyFill="1" applyBorder="1" applyAlignment="1">
      <alignment horizontal="center" wrapText="1"/>
    </xf>
    <xf numFmtId="0" fontId="2" fillId="0" borderId="0" xfId="27"/>
    <xf numFmtId="0" fontId="21" fillId="9" borderId="0" xfId="27" applyFont="1" applyFill="1"/>
    <xf numFmtId="0" fontId="1" fillId="0" borderId="0" xfId="30"/>
    <xf numFmtId="0" fontId="6" fillId="0" borderId="0" xfId="30" applyFont="1"/>
    <xf numFmtId="0" fontId="9" fillId="0" borderId="0" xfId="2" applyAlignment="1">
      <alignment horizontal="left" wrapText="1"/>
    </xf>
    <xf numFmtId="0" fontId="30" fillId="0" borderId="0" xfId="30" applyFont="1"/>
    <xf numFmtId="0" fontId="5" fillId="4" borderId="8" xfId="30" applyFont="1" applyFill="1" applyBorder="1"/>
  </cellXfs>
  <cellStyles count="43">
    <cellStyle name="5x indented GHG Textfiels" xfId="8" xr:uid="{E636D3A7-254D-4A7E-AE66-E5B25926F024}"/>
    <cellStyle name="AggOrange_CRFReport-template" xfId="9" xr:uid="{68131F4B-F2D7-4AF0-9C57-EE4BD427A2EF}"/>
    <cellStyle name="AggOrange9_CRFReport-template" xfId="10" xr:uid="{E0583BC3-B6E6-4778-BD53-CA75D9E52640}"/>
    <cellStyle name="CustomizationCells" xfId="11" xr:uid="{F2CB516A-96CB-416B-9FBC-F1559A9E52CD}"/>
    <cellStyle name="Euro" xfId="12" xr:uid="{26305D7F-D3FF-461D-BD15-18902BAF42A9}"/>
    <cellStyle name="InputCells" xfId="13" xr:uid="{2F5B11EF-ED9A-4F3D-8149-3D213C58D6B7}"/>
    <cellStyle name="Migliaia_tab emissioni" xfId="1" xr:uid="{00000000-0005-0000-0000-000000000000}"/>
    <cellStyle name="Normal" xfId="0" builtinId="0"/>
    <cellStyle name="Normal 10" xfId="2" xr:uid="{00000000-0005-0000-0000-000002000000}"/>
    <cellStyle name="Normal 10 2" xfId="21" xr:uid="{E15E9843-3071-4157-A7C0-D2B2D8775015}"/>
    <cellStyle name="Normal 11" xfId="27" xr:uid="{8A6FC8E4-D04B-4D12-858A-9B467C5C2B68}"/>
    <cellStyle name="Normal 11 2" xfId="38" xr:uid="{E4DFD373-11A3-4CD1-B6A0-F05DDB3180FA}"/>
    <cellStyle name="Normal 12" xfId="34" xr:uid="{9D7D45DF-D40E-426C-8765-F319C53A65B7}"/>
    <cellStyle name="Normal 12 2" xfId="41" xr:uid="{74E59AB7-5033-454E-8F11-D4642667F762}"/>
    <cellStyle name="Normal 12 3" xfId="42" xr:uid="{5456D9F3-E0BC-4783-9D98-92426B8F4337}"/>
    <cellStyle name="Normal 13" xfId="30" xr:uid="{B26ED7C7-768C-4F63-9F9F-CEDBA0F2A9D6}"/>
    <cellStyle name="Normal 2" xfId="3" xr:uid="{00000000-0005-0000-0000-000003000000}"/>
    <cellStyle name="Normal 3" xfId="14" xr:uid="{DE5F4A50-F6A3-4774-AF7D-4CE89FCC23DB}"/>
    <cellStyle name="Normal 3 2" xfId="26" xr:uid="{94B08955-980C-4264-AFCC-EA9F0C36CE97}"/>
    <cellStyle name="Normal 3 2 2" xfId="37" xr:uid="{3A5CC4AB-F8F7-4E0F-A866-047446F41781}"/>
    <cellStyle name="Normal 3 3" xfId="29" xr:uid="{41D528A3-C845-406C-B7E8-F126A177976D}"/>
    <cellStyle name="Normal 3 3 2" xfId="40" xr:uid="{A371384A-007D-4265-9406-D0CFADE1BEC4}"/>
    <cellStyle name="Normal 3 4" xfId="31" xr:uid="{3BD09752-C5E1-45D9-B638-5DEC2B7B04DD}"/>
    <cellStyle name="Normal 4" xfId="15" xr:uid="{89F21CF0-5A68-411B-9ABF-5C16CA183596}"/>
    <cellStyle name="Normal 5" xfId="7" xr:uid="{6C48E7FE-F840-4FE5-A609-66FBBF550150}"/>
    <cellStyle name="Normal 5 2" xfId="25" xr:uid="{D4AA070D-0B50-4B0E-B3D8-FA429F7B588C}"/>
    <cellStyle name="Normal 5 2 2" xfId="36" xr:uid="{40DD2FF1-5A95-4BCF-B09C-E02236888530}"/>
    <cellStyle name="Normal 5 3" xfId="28" xr:uid="{2FC0E98B-28BF-4FFC-A427-B1C13E6909CC}"/>
    <cellStyle name="Normal 5 3 2" xfId="39" xr:uid="{30F57278-833F-406D-AAD0-805CDDC713C4}"/>
    <cellStyle name="Normal 5 4" xfId="32" xr:uid="{6973B70F-65BF-4EAD-9C8B-DB8E43B7AA79}"/>
    <cellStyle name="Normal 6" xfId="22" xr:uid="{38799B17-C241-4FDA-B956-13B151EC805D}"/>
    <cellStyle name="Normal 7" xfId="23" xr:uid="{4CE8E9A5-D8F7-4EC9-8974-B63FF5910DCE}"/>
    <cellStyle name="Normal 8" xfId="6" xr:uid="{E32D2269-89F5-4B8D-B187-64D7F5EAA460}"/>
    <cellStyle name="Normal 8 2" xfId="35" xr:uid="{E75746D3-7760-4689-8686-05A92BAC806F}"/>
    <cellStyle name="Normal 9" xfId="24" xr:uid="{9D2D5792-5B6A-43F0-9B6D-15F5A83BCF87}"/>
    <cellStyle name="Normal 9 2" xfId="33" xr:uid="{C7881742-AE50-42D1-AD33-B84DE8C3B451}"/>
    <cellStyle name="Normal GHG Numbers (0.00)" xfId="16" xr:uid="{BAC52154-6D7C-4EFB-B85B-ED63E1A3D24A}"/>
    <cellStyle name="Normal GHG Textfiels Bold" xfId="17" xr:uid="{D1173938-2398-4A42-B395-C089D0A32E4D}"/>
    <cellStyle name="Normal GHG-Shade" xfId="18" xr:uid="{D39DB488-9AAC-4C16-9A10-35F7E9CA2B4A}"/>
    <cellStyle name="Normale_B2020" xfId="4" xr:uid="{00000000-0005-0000-0000-000004000000}"/>
    <cellStyle name="Percent 2" xfId="19" xr:uid="{58F625DA-5209-4C31-9C14-A9421D68839C}"/>
    <cellStyle name="Standard_Sce_D_Extraction" xfId="5" xr:uid="{00000000-0005-0000-0000-000005000000}"/>
    <cellStyle name="Обычный_CRF2002 (1)" xfId="20" xr:uid="{004A83B8-03C2-4F63-985A-E22BCA83F38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19050</xdr:colOff>
      <xdr:row>9</xdr:row>
      <xdr:rowOff>28575</xdr:rowOff>
    </xdr:from>
    <xdr:to>
      <xdr:col>5</xdr:col>
      <xdr:colOff>590550</xdr:colOff>
      <xdr:row>16</xdr:row>
      <xdr:rowOff>102885</xdr:rowOff>
    </xdr:to>
    <xdr:sp macro="" textlink="">
      <xdr:nvSpPr>
        <xdr:cNvPr id="2" name="TextBox 1">
          <a:extLst>
            <a:ext uri="{FF2B5EF4-FFF2-40B4-BE49-F238E27FC236}">
              <a16:creationId xmlns:a16="http://schemas.microsoft.com/office/drawing/2014/main" id="{673E54E7-D5D1-46F7-B99A-5D947163DCDD}"/>
            </a:ext>
          </a:extLst>
        </xdr:cNvPr>
        <xdr:cNvSpPr txBox="1"/>
      </xdr:nvSpPr>
      <xdr:spPr>
        <a:xfrm>
          <a:off x="161925" y="1485900"/>
          <a:ext cx="4038600" cy="120778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GB" sz="1100" b="1">
              <a:solidFill>
                <a:schemeClr val="tx1"/>
              </a:solidFill>
              <a:effectLst/>
              <a:latin typeface="+mn-lt"/>
              <a:ea typeface="+mn-ea"/>
              <a:cs typeface="+mn-cs"/>
            </a:rPr>
            <a:t>~BookRegions_Map </a:t>
          </a:r>
          <a:r>
            <a:rPr lang="en-GB" sz="1100">
              <a:solidFill>
                <a:schemeClr val="tx1"/>
              </a:solidFill>
              <a:effectLst/>
              <a:latin typeface="+mn-lt"/>
              <a:ea typeface="+mn-ea"/>
              <a:cs typeface="+mn-cs"/>
            </a:rPr>
            <a:t>is used to define:</a:t>
          </a:r>
        </a:p>
        <a:p>
          <a:pPr lvl="0"/>
          <a:r>
            <a:rPr lang="en-GB" sz="1100">
              <a:solidFill>
                <a:schemeClr val="tx1"/>
              </a:solidFill>
              <a:effectLst/>
              <a:latin typeface="+mn-lt"/>
              <a:ea typeface="+mn-ea"/>
              <a:cs typeface="+mn-cs"/>
            </a:rPr>
            <a:t>-</a:t>
          </a:r>
          <a:r>
            <a:rPr lang="en-GB" sz="1100" baseline="0">
              <a:solidFill>
                <a:schemeClr val="tx1"/>
              </a:solidFill>
              <a:effectLst/>
              <a:latin typeface="+mn-lt"/>
              <a:ea typeface="+mn-ea"/>
              <a:cs typeface="+mn-cs"/>
            </a:rPr>
            <a:t> </a:t>
          </a:r>
          <a:r>
            <a:rPr lang="en-GB" sz="1100">
              <a:solidFill>
                <a:schemeClr val="tx1"/>
              </a:solidFill>
              <a:effectLst/>
              <a:latin typeface="+mn-lt"/>
              <a:ea typeface="+mn-ea"/>
              <a:cs typeface="+mn-cs"/>
            </a:rPr>
            <a:t>the workbook name</a:t>
          </a:r>
          <a:r>
            <a:rPr lang="en-GB" sz="1100" baseline="0">
              <a:solidFill>
                <a:schemeClr val="tx1"/>
              </a:solidFill>
              <a:effectLst/>
              <a:latin typeface="+mn-lt"/>
              <a:ea typeface="+mn-ea"/>
              <a:cs typeface="+mn-cs"/>
            </a:rPr>
            <a:t> (cells B5 and B6);</a:t>
          </a:r>
          <a:r>
            <a:rPr lang="en-GB" sz="1100">
              <a:solidFill>
                <a:schemeClr val="tx1"/>
              </a:solidFill>
              <a:effectLst/>
              <a:latin typeface="+mn-lt"/>
              <a:ea typeface="+mn-ea"/>
              <a:cs typeface="+mn-cs"/>
            </a:rPr>
            <a:t> the name must be the same for each base year template workbook  VT_REG1_&lt;sector&gt;_&lt;version&gt; (for REG1);</a:t>
          </a:r>
        </a:p>
        <a:p>
          <a:pPr lvl="0"/>
          <a:r>
            <a:rPr lang="en-GB" sz="1100">
              <a:solidFill>
                <a:schemeClr val="tx1"/>
              </a:solidFill>
              <a:effectLst/>
              <a:latin typeface="+mn-lt"/>
              <a:ea typeface="+mn-ea"/>
              <a:cs typeface="+mn-cs"/>
            </a:rPr>
            <a:t>- the list of region names (cell E5,6,,...) maps the names used in the B-Y templates to the model regions:  in this case REG1 and REG2.</a:t>
          </a:r>
        </a:p>
        <a:p>
          <a:endParaRPr lang="en-GB" sz="1100">
            <a:solidFill>
              <a:schemeClr val="tx1"/>
            </a:solidFill>
          </a:endParaRPr>
        </a:p>
      </xdr:txBody>
    </xdr:sp>
    <xdr:clientData/>
  </xdr:twoCellAnchor>
  <xdr:twoCellAnchor>
    <xdr:from>
      <xdr:col>6</xdr:col>
      <xdr:colOff>581024</xdr:colOff>
      <xdr:row>9</xdr:row>
      <xdr:rowOff>9525</xdr:rowOff>
    </xdr:from>
    <xdr:to>
      <xdr:col>10</xdr:col>
      <xdr:colOff>152399</xdr:colOff>
      <xdr:row>14</xdr:row>
      <xdr:rowOff>47625</xdr:rowOff>
    </xdr:to>
    <xdr:sp macro="" textlink="">
      <xdr:nvSpPr>
        <xdr:cNvPr id="3" name="TextBox 2">
          <a:extLst>
            <a:ext uri="{FF2B5EF4-FFF2-40B4-BE49-F238E27FC236}">
              <a16:creationId xmlns:a16="http://schemas.microsoft.com/office/drawing/2014/main" id="{0E8640F2-B089-4B4F-AEF2-1FB0E16452A5}"/>
            </a:ext>
          </a:extLst>
        </xdr:cNvPr>
        <xdr:cNvSpPr txBox="1"/>
      </xdr:nvSpPr>
      <xdr:spPr>
        <a:xfrm>
          <a:off x="4800599" y="1466850"/>
          <a:ext cx="3362325" cy="8477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GB" sz="1100" b="1">
              <a:solidFill>
                <a:schemeClr val="dk1"/>
              </a:solidFill>
              <a:effectLst/>
              <a:latin typeface="+mn-lt"/>
              <a:ea typeface="+mn-ea"/>
              <a:cs typeface="+mn-cs"/>
            </a:rPr>
            <a:t>~TimeSlices</a:t>
          </a:r>
          <a:r>
            <a:rPr lang="en-GB" sz="1100">
              <a:solidFill>
                <a:schemeClr val="dk1"/>
              </a:solidFill>
              <a:effectLst/>
              <a:latin typeface="+mn-lt"/>
              <a:ea typeface="+mn-ea"/>
              <a:cs typeface="+mn-cs"/>
            </a:rPr>
            <a:t> is used to define:</a:t>
          </a:r>
        </a:p>
        <a:p>
          <a:r>
            <a:rPr lang="en-GB" sz="1100">
              <a:solidFill>
                <a:schemeClr val="dk1"/>
              </a:solidFill>
              <a:effectLst/>
              <a:latin typeface="+mn-lt"/>
              <a:ea typeface="+mn-ea"/>
              <a:cs typeface="+mn-cs"/>
            </a:rPr>
            <a:t>- the time-slices resolution for the model, by declaring the elements of each time-slice. In the column-</a:t>
          </a:r>
          <a:r>
            <a:rPr lang="en-GB" sz="1100" b="1">
              <a:solidFill>
                <a:schemeClr val="dk1"/>
              </a:solidFill>
              <a:effectLst/>
              <a:latin typeface="+mn-lt"/>
              <a:ea typeface="+mn-ea"/>
              <a:cs typeface="+mn-cs"/>
            </a:rPr>
            <a:t>SEASON</a:t>
          </a:r>
          <a:r>
            <a:rPr lang="en-GB" sz="1100">
              <a:solidFill>
                <a:schemeClr val="dk1"/>
              </a:solidFill>
              <a:effectLst/>
              <a:latin typeface="+mn-lt"/>
              <a:ea typeface="+mn-ea"/>
              <a:cs typeface="+mn-cs"/>
            </a:rPr>
            <a:t>, </a:t>
          </a:r>
          <a:r>
            <a:rPr lang="en-GB" sz="1100" b="1">
              <a:solidFill>
                <a:schemeClr val="dk1"/>
              </a:solidFill>
              <a:effectLst/>
              <a:latin typeface="+mn-lt"/>
              <a:ea typeface="+mn-ea"/>
              <a:cs typeface="+mn-cs"/>
            </a:rPr>
            <a:t>WEEKLY </a:t>
          </a:r>
          <a:r>
            <a:rPr lang="en-GB" sz="1100" b="0">
              <a:solidFill>
                <a:schemeClr val="dk1"/>
              </a:solidFill>
              <a:effectLst/>
              <a:latin typeface="+mn-lt"/>
              <a:ea typeface="+mn-ea"/>
              <a:cs typeface="+mn-cs"/>
            </a:rPr>
            <a:t>and </a:t>
          </a:r>
          <a:r>
            <a:rPr lang="en-GB" sz="1100" b="1">
              <a:solidFill>
                <a:schemeClr val="dk1"/>
              </a:solidFill>
              <a:effectLst/>
              <a:latin typeface="+mn-lt"/>
              <a:ea typeface="+mn-ea"/>
              <a:cs typeface="+mn-cs"/>
            </a:rPr>
            <a:t>DAYNITE</a:t>
          </a:r>
          <a:r>
            <a:rPr lang="en-GB" sz="1100" b="0">
              <a:solidFill>
                <a:schemeClr val="dk1"/>
              </a:solidFill>
              <a:effectLst/>
              <a:latin typeface="+mn-lt"/>
              <a:ea typeface="+mn-ea"/>
              <a:cs typeface="+mn-cs"/>
            </a:rPr>
            <a:t>.</a:t>
          </a:r>
          <a:endParaRPr lang="en-GB"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1904</xdr:colOff>
      <xdr:row>4</xdr:row>
      <xdr:rowOff>19049</xdr:rowOff>
    </xdr:from>
    <xdr:to>
      <xdr:col>15</xdr:col>
      <xdr:colOff>276225</xdr:colOff>
      <xdr:row>15</xdr:row>
      <xdr:rowOff>142875</xdr:rowOff>
    </xdr:to>
    <xdr:sp macro="" textlink="">
      <xdr:nvSpPr>
        <xdr:cNvPr id="2" name="TextBox 1">
          <a:extLst>
            <a:ext uri="{FF2B5EF4-FFF2-40B4-BE49-F238E27FC236}">
              <a16:creationId xmlns:a16="http://schemas.microsoft.com/office/drawing/2014/main" id="{ECD163C4-7775-444F-93F2-5B89EC116EDD}"/>
            </a:ext>
          </a:extLst>
        </xdr:cNvPr>
        <xdr:cNvSpPr txBox="1"/>
      </xdr:nvSpPr>
      <xdr:spPr>
        <a:xfrm>
          <a:off x="4914899" y="666749"/>
          <a:ext cx="6524626" cy="190500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GB" sz="1100" b="1">
              <a:solidFill>
                <a:schemeClr val="dk1"/>
              </a:solidFill>
              <a:effectLst/>
              <a:latin typeface="+mn-lt"/>
              <a:ea typeface="+mn-ea"/>
              <a:cs typeface="+mn-cs"/>
            </a:rPr>
            <a:t>~StartYear</a:t>
          </a:r>
          <a:r>
            <a:rPr lang="en-GB" sz="1100">
              <a:solidFill>
                <a:schemeClr val="dk1"/>
              </a:solidFill>
              <a:effectLst/>
              <a:latin typeface="+mn-lt"/>
              <a:ea typeface="+mn-ea"/>
              <a:cs typeface="+mn-cs"/>
            </a:rPr>
            <a:t> is used to define:</a:t>
          </a:r>
        </a:p>
        <a:p>
          <a:pPr lvl="0"/>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the start year of the model (2005);</a:t>
          </a:r>
        </a:p>
        <a:p>
          <a:pPr lvl="0"/>
          <a:endParaRPr lang="en-GB" sz="1100">
            <a:solidFill>
              <a:schemeClr val="dk1"/>
            </a:solidFill>
            <a:effectLst/>
            <a:latin typeface="+mn-lt"/>
            <a:ea typeface="+mn-ea"/>
            <a:cs typeface="+mn-cs"/>
          </a:endParaRPr>
        </a:p>
        <a:p>
          <a:pPr lvl="0"/>
          <a:r>
            <a:rPr lang="en-GB" sz="1100" b="1">
              <a:solidFill>
                <a:schemeClr val="dk1"/>
              </a:solidFill>
              <a:effectLst/>
              <a:latin typeface="+mn-lt"/>
              <a:ea typeface="+mn-ea"/>
              <a:cs typeface="+mn-cs"/>
            </a:rPr>
            <a:t>~ActivePDef</a:t>
          </a:r>
          <a:r>
            <a:rPr lang="en-GB" sz="1100">
              <a:solidFill>
                <a:schemeClr val="dk1"/>
              </a:solidFill>
              <a:effectLst/>
              <a:latin typeface="+mn-lt"/>
              <a:ea typeface="+mn-ea"/>
              <a:cs typeface="+mn-cs"/>
            </a:rPr>
            <a:t> is used to define:</a:t>
          </a:r>
        </a:p>
        <a:p>
          <a:pPr lvl="0"/>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the set of active periods. </a:t>
          </a:r>
          <a:r>
            <a:rPr lang="en-US" sz="1100">
              <a:solidFill>
                <a:schemeClr val="dk1"/>
              </a:solidFill>
              <a:effectLst/>
              <a:latin typeface="+mn-lt"/>
              <a:ea typeface="+mn-ea"/>
              <a:cs typeface="+mn-cs"/>
            </a:rPr>
            <a:t>Alternate period definitions can be made and the active one is declared under the tag</a:t>
          </a:r>
          <a:r>
            <a:rPr lang="en-US" sz="1100" b="1" i="1">
              <a:solidFill>
                <a:schemeClr val="dk1"/>
              </a:solidFill>
              <a:effectLst/>
              <a:latin typeface="+mn-lt"/>
              <a:ea typeface="+mn-ea"/>
              <a:cs typeface="+mn-cs"/>
            </a:rPr>
            <a:t> ~ActiveDef</a:t>
          </a:r>
          <a:r>
            <a:rPr lang="en-US" sz="1100">
              <a:solidFill>
                <a:schemeClr val="dk1"/>
              </a:solidFill>
              <a:effectLst/>
              <a:latin typeface="+mn-lt"/>
              <a:ea typeface="+mn-ea"/>
              <a:cs typeface="+mn-cs"/>
            </a:rPr>
            <a:t>. </a:t>
          </a:r>
        </a:p>
        <a:p>
          <a:pPr lvl="0"/>
          <a:endParaRPr lang="en-GB" sz="1100">
            <a:solidFill>
              <a:schemeClr val="dk1"/>
            </a:solidFill>
            <a:effectLst/>
            <a:latin typeface="+mn-lt"/>
            <a:ea typeface="+mn-ea"/>
            <a:cs typeface="+mn-cs"/>
          </a:endParaRPr>
        </a:p>
        <a:p>
          <a:pPr lvl="0"/>
          <a:r>
            <a:rPr lang="en-GB" sz="1100" b="1">
              <a:solidFill>
                <a:schemeClr val="dk1"/>
              </a:solidFill>
              <a:effectLst/>
              <a:latin typeface="+mn-lt"/>
              <a:ea typeface="+mn-ea"/>
              <a:cs typeface="+mn-cs"/>
            </a:rPr>
            <a:t>~TimePeriods</a:t>
          </a:r>
          <a:r>
            <a:rPr lang="en-GB" sz="1100">
              <a:solidFill>
                <a:schemeClr val="dk1"/>
              </a:solidFill>
              <a:effectLst/>
              <a:latin typeface="+mn-lt"/>
              <a:ea typeface="+mn-ea"/>
              <a:cs typeface="+mn-cs"/>
            </a:rPr>
            <a:t> is used to define:</a:t>
          </a:r>
        </a:p>
        <a:p>
          <a:pPr lvl="0"/>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the time horizon of the model for the ActivePdef.  In</a:t>
          </a:r>
          <a:r>
            <a:rPr lang="en-GB" sz="1100" baseline="0">
              <a:solidFill>
                <a:schemeClr val="dk1"/>
              </a:solidFill>
              <a:effectLst/>
              <a:latin typeface="+mn-lt"/>
              <a:ea typeface="+mn-ea"/>
              <a:cs typeface="+mn-cs"/>
            </a:rPr>
            <a:t> this example two period definitions (Pdef-1 and Pdef-5)</a:t>
          </a:r>
        </a:p>
        <a:p>
          <a:pPr lvl="0"/>
          <a:r>
            <a:rPr lang="en-GB" sz="1100" baseline="0">
              <a:solidFill>
                <a:schemeClr val="dk1"/>
              </a:solidFill>
              <a:effectLst/>
              <a:latin typeface="+mn-lt"/>
              <a:ea typeface="+mn-ea"/>
              <a:cs typeface="+mn-cs"/>
            </a:rPr>
            <a:t>- For Pdef-1 the number of years </a:t>
          </a:r>
          <a:r>
            <a:rPr lang="en-GB" sz="1100">
              <a:solidFill>
                <a:schemeClr val="dk1"/>
              </a:solidFill>
              <a:effectLst/>
              <a:latin typeface="+mn-lt"/>
              <a:ea typeface="+mn-ea"/>
              <a:cs typeface="+mn-cs"/>
            </a:rPr>
            <a:t>for the start year (first period is 1 year long), the second period has 2 years</a:t>
          </a:r>
          <a:r>
            <a:rPr lang="en-US" sz="1100">
              <a:solidFill>
                <a:schemeClr val="dk1"/>
              </a:solidFill>
              <a:effectLst/>
              <a:latin typeface="+mn-lt"/>
              <a:ea typeface="+mn-ea"/>
              <a:cs typeface="+mn-cs"/>
            </a:rPr>
            <a:t>.</a:t>
          </a:r>
          <a:endParaRPr lang="en-GB" sz="1100">
            <a:solidFill>
              <a:schemeClr val="dk1"/>
            </a:solidFill>
            <a:effectLst/>
            <a:latin typeface="+mn-lt"/>
            <a:ea typeface="+mn-ea"/>
            <a:cs typeface="+mn-cs"/>
          </a:endParaRPr>
        </a:p>
        <a:p>
          <a:endParaRPr lang="en-GB"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12</xdr:row>
      <xdr:rowOff>0</xdr:rowOff>
    </xdr:from>
    <xdr:to>
      <xdr:col>6</xdr:col>
      <xdr:colOff>9525</xdr:colOff>
      <xdr:row>20</xdr:row>
      <xdr:rowOff>121943</xdr:rowOff>
    </xdr:to>
    <xdr:sp macro="" textlink="">
      <xdr:nvSpPr>
        <xdr:cNvPr id="2" name="TextBox 1">
          <a:extLst>
            <a:ext uri="{FF2B5EF4-FFF2-40B4-BE49-F238E27FC236}">
              <a16:creationId xmlns:a16="http://schemas.microsoft.com/office/drawing/2014/main" id="{197ED2A0-BBD1-49C4-A542-35BAE0232C17}"/>
            </a:ext>
          </a:extLst>
        </xdr:cNvPr>
        <xdr:cNvSpPr txBox="1"/>
      </xdr:nvSpPr>
      <xdr:spPr>
        <a:xfrm>
          <a:off x="161925" y="1943100"/>
          <a:ext cx="5962650" cy="14192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GB" sz="1100" b="1">
              <a:solidFill>
                <a:schemeClr val="dk1"/>
              </a:solidFill>
              <a:effectLst/>
              <a:latin typeface="+mn-lt"/>
              <a:ea typeface="+mn-ea"/>
              <a:cs typeface="+mn-cs"/>
            </a:rPr>
            <a:t>~ImpSettings </a:t>
          </a:r>
          <a:r>
            <a:rPr lang="en-GB" sz="1100" b="0">
              <a:solidFill>
                <a:schemeClr val="dk1"/>
              </a:solidFill>
              <a:effectLst/>
              <a:latin typeface="+mn-lt"/>
              <a:ea typeface="+mn-ea"/>
              <a:cs typeface="+mn-cs"/>
            </a:rPr>
            <a:t>is used to define some settings</a:t>
          </a:r>
          <a:r>
            <a:rPr lang="en-GB" sz="1100" b="0" baseline="0">
              <a:solidFill>
                <a:schemeClr val="dk1"/>
              </a:solidFill>
              <a:effectLst/>
              <a:latin typeface="+mn-lt"/>
              <a:ea typeface="+mn-ea"/>
              <a:cs typeface="+mn-cs"/>
            </a:rPr>
            <a:t> for the synchronization process</a:t>
          </a:r>
          <a:endParaRPr lang="en-GB" sz="1100">
            <a:solidFill>
              <a:schemeClr val="dk1"/>
            </a:solidFill>
            <a:effectLst/>
            <a:latin typeface="+mn-lt"/>
            <a:ea typeface="+mn-ea"/>
            <a:cs typeface="+mn-cs"/>
          </a:endParaRPr>
        </a:p>
        <a:p>
          <a:pPr algn="l"/>
          <a:r>
            <a:rPr lang="en-GB" sz="1100">
              <a:solidFill>
                <a:schemeClr val="dk1"/>
              </a:solidFill>
              <a:effectLst/>
              <a:latin typeface="+mn-lt"/>
              <a:ea typeface="+mn-ea"/>
              <a:cs typeface="+mn-cs"/>
            </a:rPr>
            <a:t>- Dummy Imports: one can control the creation of dummy imports in the table shown above. </a:t>
          </a:r>
          <a:r>
            <a:rPr lang="en-GB" sz="1100" baseline="0">
              <a:solidFill>
                <a:schemeClr val="dk1"/>
              </a:solidFill>
              <a:effectLst/>
              <a:latin typeface="+mn-lt"/>
              <a:ea typeface="+mn-ea"/>
              <a:cs typeface="+mn-cs"/>
            </a:rPr>
            <a:t> </a:t>
          </a:r>
          <a:r>
            <a:rPr lang="en-US" sz="1100">
              <a:solidFill>
                <a:schemeClr val="dk1"/>
              </a:solidFill>
              <a:effectLst/>
              <a:latin typeface="+mn-lt"/>
              <a:ea typeface="+mn-ea"/>
              <a:cs typeface="+mn-cs"/>
            </a:rPr>
            <a:t>These backstop dummy processes are introduced in the model in order to avoid infeasibilities that may arise if not enough energy carrier or demand can be supplied.</a:t>
          </a:r>
          <a:endParaRPr lang="en-GB">
            <a:effectLst/>
          </a:endParaRPr>
        </a:p>
        <a:p>
          <a:pPr lvl="0" algn="l"/>
          <a:r>
            <a:rPr lang="en-GB" sz="1100">
              <a:solidFill>
                <a:schemeClr val="dk1"/>
              </a:solidFill>
              <a:effectLst/>
              <a:latin typeface="+mn-lt"/>
              <a:ea typeface="+mn-ea"/>
              <a:cs typeface="+mn-cs"/>
            </a:rPr>
            <a:t>- Vintage Bounds: VEDA can automatically generate bounds to prohibit investments in processes when a newer vintage becomes available, assuming that the last two characters of the process name are used for the first year of availability .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9525</xdr:colOff>
      <xdr:row>1</xdr:row>
      <xdr:rowOff>9525</xdr:rowOff>
    </xdr:from>
    <xdr:to>
      <xdr:col>20</xdr:col>
      <xdr:colOff>476250</xdr:colOff>
      <xdr:row>16</xdr:row>
      <xdr:rowOff>114300</xdr:rowOff>
    </xdr:to>
    <xdr:sp macro="" textlink="">
      <xdr:nvSpPr>
        <xdr:cNvPr id="2" name="TextBox 1">
          <a:extLst>
            <a:ext uri="{FF2B5EF4-FFF2-40B4-BE49-F238E27FC236}">
              <a16:creationId xmlns:a16="http://schemas.microsoft.com/office/drawing/2014/main" id="{176455C6-25AA-4D51-B400-33BBDD36794E}"/>
            </a:ext>
          </a:extLst>
        </xdr:cNvPr>
        <xdr:cNvSpPr txBox="1"/>
      </xdr:nvSpPr>
      <xdr:spPr>
        <a:xfrm>
          <a:off x="6848475" y="171450"/>
          <a:ext cx="5962650" cy="22193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GB" sz="1100" b="1">
              <a:solidFill>
                <a:schemeClr val="dk1"/>
              </a:solidFill>
              <a:effectLst/>
              <a:latin typeface="+mn-lt"/>
              <a:ea typeface="+mn-ea"/>
              <a:cs typeface="+mn-cs"/>
            </a:rPr>
            <a:t>~TFM_UPD</a:t>
          </a:r>
          <a:r>
            <a:rPr lang="en-GB" sz="1100">
              <a:solidFill>
                <a:schemeClr val="dk1"/>
              </a:solidFill>
              <a:effectLst/>
              <a:latin typeface="+mn-lt"/>
              <a:ea typeface="+mn-ea"/>
              <a:cs typeface="+mn-cs"/>
            </a:rPr>
            <a:t> is used to declare a table in SysSetting (and/or scenario file and/or _Trans files)</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which is a simple transformation to pre-existing data in a rule-based manner. </a:t>
          </a:r>
        </a:p>
        <a:p>
          <a:pPr lvl="0"/>
          <a:endParaRPr lang="en-GB" sz="1100">
            <a:solidFill>
              <a:schemeClr val="dk1"/>
            </a:solidFill>
            <a:effectLst/>
            <a:latin typeface="+mn-lt"/>
            <a:ea typeface="+mn-ea"/>
            <a:cs typeface="+mn-cs"/>
          </a:endParaRPr>
        </a:p>
        <a:p>
          <a:pPr lvl="0"/>
          <a:r>
            <a:rPr lang="en-GB" sz="1100" baseline="0">
              <a:solidFill>
                <a:schemeClr val="dk1"/>
              </a:solidFill>
              <a:effectLst/>
              <a:latin typeface="+mn-lt"/>
              <a:ea typeface="+mn-ea"/>
              <a:cs typeface="+mn-cs"/>
            </a:rPr>
            <a:t>In this case case </a:t>
          </a:r>
          <a:r>
            <a:rPr lang="en-GB" sz="1100">
              <a:solidFill>
                <a:schemeClr val="dk1"/>
              </a:solidFill>
              <a:effectLst/>
              <a:latin typeface="+mn-lt"/>
              <a:ea typeface="+mn-ea"/>
              <a:cs typeface="+mn-cs"/>
            </a:rPr>
            <a:t>, the 1</a:t>
          </a:r>
          <a:r>
            <a:rPr lang="en-GB" sz="1100" baseline="30000">
              <a:solidFill>
                <a:schemeClr val="dk1"/>
              </a:solidFill>
              <a:effectLst/>
              <a:latin typeface="+mn-lt"/>
              <a:ea typeface="+mn-ea"/>
              <a:cs typeface="+mn-cs"/>
            </a:rPr>
            <a:t>st</a:t>
          </a:r>
          <a:r>
            <a:rPr lang="en-GB" sz="1100">
              <a:solidFill>
                <a:schemeClr val="dk1"/>
              </a:solidFill>
              <a:effectLst/>
              <a:latin typeface="+mn-lt"/>
              <a:ea typeface="+mn-ea"/>
              <a:cs typeface="+mn-cs"/>
            </a:rPr>
            <a:t> block deals with setting the default interpolation rules (indicated by the 0 in the Yr column) for  the parameter defined in the column attribute </a:t>
          </a:r>
          <a:r>
            <a:rPr lang="en-GB" sz="1100" baseline="0">
              <a:solidFill>
                <a:schemeClr val="dk1"/>
              </a:solidFill>
              <a:effectLst/>
              <a:latin typeface="+mn-lt"/>
              <a:ea typeface="+mn-ea"/>
              <a:cs typeface="+mn-cs"/>
            </a:rPr>
            <a:t> and all the processes  defined in the model.</a:t>
          </a:r>
          <a:endParaRPr lang="en-GB" sz="1100">
            <a:solidFill>
              <a:schemeClr val="dk1"/>
            </a:solidFill>
            <a:effectLst/>
            <a:latin typeface="+mn-lt"/>
            <a:ea typeface="+mn-ea"/>
            <a:cs typeface="+mn-cs"/>
          </a:endParaRPr>
        </a:p>
        <a:p>
          <a:pPr lvl="0"/>
          <a:endParaRPr lang="en-GB" sz="1100">
            <a:solidFill>
              <a:schemeClr val="dk1"/>
            </a:solidFill>
            <a:effectLst/>
            <a:latin typeface="+mn-lt"/>
            <a:ea typeface="+mn-ea"/>
            <a:cs typeface="+mn-cs"/>
          </a:endParaRPr>
        </a:p>
        <a:p>
          <a:pPr lvl="0"/>
          <a:r>
            <a:rPr lang="en-GB" sz="1100">
              <a:solidFill>
                <a:schemeClr val="dk1"/>
              </a:solidFill>
              <a:effectLst/>
              <a:latin typeface="+mn-lt"/>
              <a:ea typeface="+mn-ea"/>
              <a:cs typeface="+mn-cs"/>
            </a:rPr>
            <a:t>The 2</a:t>
          </a:r>
          <a:r>
            <a:rPr lang="en-GB" sz="1100" baseline="30000">
              <a:solidFill>
                <a:schemeClr val="dk1"/>
              </a:solidFill>
              <a:effectLst/>
              <a:latin typeface="+mn-lt"/>
              <a:ea typeface="+mn-ea"/>
              <a:cs typeface="+mn-cs"/>
            </a:rPr>
            <a:t>nd</a:t>
          </a:r>
          <a:r>
            <a:rPr lang="en-GB" sz="1100">
              <a:solidFill>
                <a:schemeClr val="dk1"/>
              </a:solidFill>
              <a:effectLst/>
              <a:latin typeface="+mn-lt"/>
              <a:ea typeface="+mn-ea"/>
              <a:cs typeface="+mn-cs"/>
            </a:rPr>
            <a:t> block sets default prices (ACTCOST) for the “backstop” options for fuels (dummy IMPort technologies ending with “Z”) and demands (a dummy IMPDEMZ process that can feed any demand).</a:t>
          </a:r>
        </a:p>
        <a:p>
          <a:pPr lvl="0"/>
          <a:endParaRPr lang="en-GB" sz="1100">
            <a:solidFill>
              <a:schemeClr val="dk1"/>
            </a:solidFill>
            <a:effectLst/>
            <a:latin typeface="+mn-lt"/>
            <a:ea typeface="+mn-ea"/>
            <a:cs typeface="+mn-cs"/>
          </a:endParaRPr>
        </a:p>
        <a:p>
          <a:pPr lvl="0"/>
          <a:r>
            <a:rPr lang="en-GB" sz="1100">
              <a:solidFill>
                <a:schemeClr val="dk1"/>
              </a:solidFill>
              <a:effectLst/>
              <a:latin typeface="+mn-lt"/>
              <a:ea typeface="+mn-ea"/>
              <a:cs typeface="+mn-cs"/>
            </a:rPr>
            <a:t>For more details see www.kanors-emr.com/vedasupport</a:t>
          </a:r>
          <a:r>
            <a:rPr lang="en-GB" sz="1100" baseline="0">
              <a:solidFill>
                <a:schemeClr val="dk1"/>
              </a:solidFill>
              <a:effectLst/>
              <a:latin typeface="+mn-lt"/>
              <a:ea typeface="+mn-ea"/>
              <a:cs typeface="+mn-cs"/>
            </a:rPr>
            <a:t>  in "templates basic"or the getting started with VEDA-TIMES from pag.22</a:t>
          </a:r>
          <a:endParaRPr lang="en-GB" sz="1100">
            <a:solidFill>
              <a:schemeClr val="dk1"/>
            </a:solidFill>
            <a:effectLst/>
            <a:latin typeface="+mn-lt"/>
            <a:ea typeface="+mn-ea"/>
            <a:cs typeface="+mn-cs"/>
          </a:endParaRPr>
        </a:p>
      </xdr:txBody>
    </xdr:sp>
    <xdr:clientData/>
  </xdr:twoCellAnchor>
  <xdr:twoCellAnchor editAs="oneCell">
    <xdr:from>
      <xdr:col>0</xdr:col>
      <xdr:colOff>180975</xdr:colOff>
      <xdr:row>8</xdr:row>
      <xdr:rowOff>133350</xdr:rowOff>
    </xdr:from>
    <xdr:to>
      <xdr:col>10</xdr:col>
      <xdr:colOff>85725</xdr:colOff>
      <xdr:row>26</xdr:row>
      <xdr:rowOff>38100</xdr:rowOff>
    </xdr:to>
    <xdr:pic>
      <xdr:nvPicPr>
        <xdr:cNvPr id="1552" name="Picture 2">
          <a:extLst>
            <a:ext uri="{FF2B5EF4-FFF2-40B4-BE49-F238E27FC236}">
              <a16:creationId xmlns:a16="http://schemas.microsoft.com/office/drawing/2014/main" id="{BCC449D9-6401-4378-B907-0D18D4DC6F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1438275"/>
          <a:ext cx="6134100" cy="2943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593089</xdr:colOff>
      <xdr:row>5</xdr:row>
      <xdr:rowOff>88903</xdr:rowOff>
    </xdr:from>
    <xdr:to>
      <xdr:col>20</xdr:col>
      <xdr:colOff>55039</xdr:colOff>
      <xdr:row>19</xdr:row>
      <xdr:rowOff>9525</xdr:rowOff>
    </xdr:to>
    <xdr:sp macro="" textlink="">
      <xdr:nvSpPr>
        <xdr:cNvPr id="2" name="TextBox 1">
          <a:extLst>
            <a:ext uri="{FF2B5EF4-FFF2-40B4-BE49-F238E27FC236}">
              <a16:creationId xmlns:a16="http://schemas.microsoft.com/office/drawing/2014/main" id="{E0338ABD-4DA6-45F3-AA5B-11CCFEEA779B}"/>
            </a:ext>
          </a:extLst>
        </xdr:cNvPr>
        <xdr:cNvSpPr txBox="1"/>
      </xdr:nvSpPr>
      <xdr:spPr>
        <a:xfrm>
          <a:off x="6889114" y="927103"/>
          <a:ext cx="6167550" cy="226377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000"/>
            </a:lnSpc>
          </a:pPr>
          <a:r>
            <a:rPr lang="en-GB" sz="1100" b="1">
              <a:solidFill>
                <a:schemeClr val="dk1"/>
              </a:solidFill>
              <a:effectLst/>
              <a:latin typeface="+mn-lt"/>
              <a:ea typeface="+mn-ea"/>
              <a:cs typeface="+mn-cs"/>
            </a:rPr>
            <a:t>~TFM_INS </a:t>
          </a:r>
          <a:r>
            <a:rPr lang="en-GB" sz="1100">
              <a:solidFill>
                <a:schemeClr val="dk1"/>
              </a:solidFill>
              <a:effectLst/>
              <a:latin typeface="+mn-lt"/>
              <a:ea typeface="+mn-ea"/>
              <a:cs typeface="+mn-cs"/>
            </a:rPr>
            <a:t>(transformation insert table</a:t>
          </a:r>
          <a:r>
            <a:rPr lang="en-GB" sz="1100" b="1">
              <a:solidFill>
                <a:schemeClr val="dk1"/>
              </a:solidFill>
              <a:effectLst/>
              <a:latin typeface="+mn-lt"/>
              <a:ea typeface="+mn-ea"/>
              <a:cs typeface="+mn-cs"/>
            </a:rPr>
            <a:t>)</a:t>
          </a:r>
          <a:r>
            <a:rPr lang="en-GB" sz="1100" b="0">
              <a:solidFill>
                <a:schemeClr val="dk1"/>
              </a:solidFill>
              <a:effectLst/>
              <a:latin typeface="+mn-lt"/>
              <a:ea typeface="+mn-ea"/>
              <a:cs typeface="+mn-cs"/>
            </a:rPr>
            <a:t> is used</a:t>
          </a:r>
          <a:r>
            <a:rPr lang="en-GB" sz="1100">
              <a:solidFill>
                <a:schemeClr val="dk1"/>
              </a:solidFill>
              <a:effectLst/>
              <a:latin typeface="+mn-lt"/>
              <a:ea typeface="+mn-ea"/>
              <a:cs typeface="+mn-cs"/>
            </a:rPr>
            <a:t> to assign an absolute value for parameters that are based on rules.</a:t>
          </a:r>
        </a:p>
        <a:p>
          <a:pPr>
            <a:lnSpc>
              <a:spcPts val="1000"/>
            </a:lnSpc>
          </a:pPr>
          <a:r>
            <a:rPr lang="en-GB" sz="1100">
              <a:solidFill>
                <a:schemeClr val="dk1"/>
              </a:solidFill>
              <a:effectLst/>
              <a:latin typeface="+mn-lt"/>
              <a:ea typeface="+mn-ea"/>
              <a:cs typeface="+mn-cs"/>
            </a:rPr>
            <a:t> </a:t>
          </a:r>
        </a:p>
        <a:p>
          <a:pPr lvl="0">
            <a:lnSpc>
              <a:spcPts val="1000"/>
            </a:lnSpc>
          </a:pPr>
          <a:r>
            <a:rPr lang="en-GB" sz="1100" b="1">
              <a:solidFill>
                <a:schemeClr val="dk1"/>
              </a:solidFill>
              <a:effectLst/>
              <a:latin typeface="+mn-lt"/>
              <a:ea typeface="+mn-ea"/>
              <a:cs typeface="+mn-cs"/>
            </a:rPr>
            <a:t>ATTRIBUTE</a:t>
          </a:r>
          <a:r>
            <a:rPr lang="en-GB" sz="1100">
              <a:solidFill>
                <a:schemeClr val="dk1"/>
              </a:solidFill>
              <a:effectLst/>
              <a:latin typeface="+mn-lt"/>
              <a:ea typeface="+mn-ea"/>
              <a:cs typeface="+mn-cs"/>
            </a:rPr>
            <a:t>, a reserved word indicating that a VEDA-TIMES parameter names appear in this column; in this example these parameters are G_DYEAR (discounting</a:t>
          </a:r>
          <a:r>
            <a:rPr lang="en-GB" sz="1100" baseline="0">
              <a:solidFill>
                <a:schemeClr val="dk1"/>
              </a:solidFill>
              <a:effectLst/>
              <a:latin typeface="+mn-lt"/>
              <a:ea typeface="+mn-ea"/>
              <a:cs typeface="+mn-cs"/>
            </a:rPr>
            <a:t> year), </a:t>
          </a:r>
          <a:r>
            <a:rPr lang="en-GB" sz="1100" b="1">
              <a:solidFill>
                <a:schemeClr val="dk1"/>
              </a:solidFill>
              <a:effectLst/>
              <a:latin typeface="+mn-lt"/>
              <a:ea typeface="+mn-ea"/>
              <a:cs typeface="+mn-cs"/>
            </a:rPr>
            <a:t>DISCOUNT</a:t>
          </a:r>
          <a:r>
            <a:rPr lang="en-GB" sz="1100">
              <a:solidFill>
                <a:schemeClr val="dk1"/>
              </a:solidFill>
              <a:effectLst/>
              <a:latin typeface="+mn-lt"/>
              <a:ea typeface="+mn-ea"/>
              <a:cs typeface="+mn-cs"/>
            </a:rPr>
            <a:t> (overall discount rate) and </a:t>
          </a:r>
          <a:r>
            <a:rPr lang="en-GB" sz="1100" b="1">
              <a:solidFill>
                <a:schemeClr val="dk1"/>
              </a:solidFill>
              <a:effectLst/>
              <a:latin typeface="+mn-lt"/>
              <a:ea typeface="+mn-ea"/>
              <a:cs typeface="+mn-cs"/>
            </a:rPr>
            <a:t>YRFR</a:t>
          </a:r>
          <a:r>
            <a:rPr lang="en-GB" sz="1100">
              <a:solidFill>
                <a:schemeClr val="dk1"/>
              </a:solidFill>
              <a:effectLst/>
              <a:latin typeface="+mn-lt"/>
              <a:ea typeface="+mn-ea"/>
              <a:cs typeface="+mn-cs"/>
            </a:rPr>
            <a:t> (fraction of year for season and dayniote level. There</a:t>
          </a:r>
          <a:r>
            <a:rPr lang="en-GB" sz="1100" baseline="0">
              <a:solidFill>
                <a:schemeClr val="dk1"/>
              </a:solidFill>
              <a:effectLst/>
              <a:latin typeface="+mn-lt"/>
              <a:ea typeface="+mn-ea"/>
              <a:cs typeface="+mn-cs"/>
            </a:rPr>
            <a:t> are four timeslice because it is the combination of the seasonal timeslice with the daynite timeslice)</a:t>
          </a:r>
        </a:p>
        <a:p>
          <a:pPr lvl="0">
            <a:lnSpc>
              <a:spcPts val="1100"/>
            </a:lnSpc>
          </a:pPr>
          <a:endParaRPr lang="en-GB" sz="1100">
            <a:solidFill>
              <a:schemeClr val="dk1"/>
            </a:solidFill>
            <a:effectLst/>
            <a:latin typeface="+mn-lt"/>
            <a:ea typeface="+mn-ea"/>
            <a:cs typeface="+mn-cs"/>
          </a:endParaRPr>
        </a:p>
        <a:p>
          <a:pPr lvl="0">
            <a:lnSpc>
              <a:spcPts val="1100"/>
            </a:lnSpc>
          </a:pPr>
          <a:r>
            <a:rPr lang="en-GB" sz="1100" b="1">
              <a:solidFill>
                <a:schemeClr val="dk1"/>
              </a:solidFill>
              <a:effectLst/>
              <a:latin typeface="+mn-lt"/>
              <a:ea typeface="+mn-ea"/>
              <a:cs typeface="+mn-cs"/>
            </a:rPr>
            <a:t>TIMESLICE</a:t>
          </a:r>
          <a:r>
            <a:rPr lang="en-GB" sz="1100">
              <a:solidFill>
                <a:schemeClr val="dk1"/>
              </a:solidFill>
              <a:effectLst/>
              <a:latin typeface="+mn-lt"/>
              <a:ea typeface="+mn-ea"/>
              <a:cs typeface="+mn-cs"/>
            </a:rPr>
            <a:t> indicating the particular time-slice for which data is provided.</a:t>
          </a:r>
        </a:p>
        <a:p>
          <a:pPr lvl="0">
            <a:lnSpc>
              <a:spcPts val="1100"/>
            </a:lnSpc>
          </a:pPr>
          <a:endParaRPr lang="en-GB" sz="1100">
            <a:solidFill>
              <a:schemeClr val="dk1"/>
            </a:solidFill>
            <a:effectLst/>
            <a:latin typeface="+mn-lt"/>
            <a:ea typeface="+mn-ea"/>
            <a:cs typeface="+mn-cs"/>
          </a:endParaRPr>
        </a:p>
        <a:p>
          <a:pPr>
            <a:lnSpc>
              <a:spcPts val="1000"/>
            </a:lnSpc>
          </a:pPr>
          <a:r>
            <a:rPr lang="en-US" sz="1100">
              <a:solidFill>
                <a:schemeClr val="dk1"/>
              </a:solidFill>
              <a:effectLst/>
              <a:latin typeface="+mn-lt"/>
              <a:ea typeface="+mn-ea"/>
              <a:cs typeface="+mn-cs"/>
            </a:rPr>
            <a:t>For more information see Transformation tables, Insert Value section at www.kanors.com/vedasupport.</a:t>
          </a:r>
          <a:endParaRPr lang="en-GB" sz="1100">
            <a:solidFill>
              <a:schemeClr val="dk1"/>
            </a:solidFill>
            <a:effectLst/>
            <a:latin typeface="+mn-lt"/>
            <a:ea typeface="+mn-ea"/>
            <a:cs typeface="+mn-cs"/>
          </a:endParaRPr>
        </a:p>
        <a:p>
          <a:pPr>
            <a:lnSpc>
              <a:spcPts val="1100"/>
            </a:lnSpc>
          </a:pPr>
          <a:r>
            <a:rPr lang="en-US" sz="1100">
              <a:solidFill>
                <a:schemeClr val="dk1"/>
              </a:solidFill>
              <a:effectLst/>
              <a:latin typeface="+mn-lt"/>
              <a:ea typeface="+mn-ea"/>
              <a:cs typeface="+mn-cs"/>
            </a:rPr>
            <a:t>The full description of the time-slices is given in paragraph 3.2.1.1.</a:t>
          </a:r>
          <a:endParaRPr lang="en-GB" sz="1100">
            <a:solidFill>
              <a:schemeClr val="dk1"/>
            </a:solidFill>
            <a:effectLst/>
            <a:latin typeface="+mn-lt"/>
            <a:ea typeface="+mn-ea"/>
            <a:cs typeface="+mn-cs"/>
          </a:endParaRPr>
        </a:p>
        <a:p>
          <a:pPr lvl="0">
            <a:lnSpc>
              <a:spcPts val="1000"/>
            </a:lnSpc>
          </a:pPr>
          <a:endParaRPr lang="en-GB" sz="1100">
            <a:solidFill>
              <a:schemeClr val="dk1"/>
            </a:solidFill>
            <a:effectLst/>
            <a:latin typeface="+mn-lt"/>
            <a:ea typeface="+mn-ea"/>
            <a:cs typeface="+mn-cs"/>
          </a:endParaRPr>
        </a:p>
        <a:p>
          <a:pPr lvl="0">
            <a:lnSpc>
              <a:spcPts val="1100"/>
            </a:lnSpc>
          </a:pPr>
          <a:endParaRPr lang="en-GB" sz="1100">
            <a:solidFill>
              <a:schemeClr val="dk1"/>
            </a:solidFill>
            <a:effectLst/>
            <a:latin typeface="+mn-lt"/>
            <a:ea typeface="+mn-ea"/>
            <a:cs typeface="+mn-cs"/>
          </a:endParaRPr>
        </a:p>
        <a:p>
          <a:pPr lvl="0">
            <a:lnSpc>
              <a:spcPts val="1200"/>
            </a:lnSpc>
          </a:pPr>
          <a:r>
            <a:rPr lang="en-GB" sz="1100">
              <a:solidFill>
                <a:schemeClr val="dk1"/>
              </a:solidFill>
              <a:effectLst/>
              <a:latin typeface="+mn-lt"/>
              <a:ea typeface="+mn-ea"/>
              <a:cs typeface="+mn-cs"/>
            </a:rPr>
            <a:t>For more details see www.kanors-emr.com/vedasupport</a:t>
          </a:r>
          <a:r>
            <a:rPr lang="en-GB" sz="1100" baseline="0">
              <a:solidFill>
                <a:schemeClr val="dk1"/>
              </a:solidFill>
              <a:effectLst/>
              <a:latin typeface="+mn-lt"/>
              <a:ea typeface="+mn-ea"/>
              <a:cs typeface="+mn-cs"/>
            </a:rPr>
            <a:t>  in "templates basic"or the getting started with VEDA-TIMES from pag.22</a:t>
          </a:r>
          <a:endParaRPr lang="en-GB" sz="1100">
            <a:solidFill>
              <a:schemeClr val="dk1"/>
            </a:solidFill>
            <a:effectLst/>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0</xdr:colOff>
      <xdr:row>2</xdr:row>
      <xdr:rowOff>0</xdr:rowOff>
    </xdr:from>
    <xdr:to>
      <xdr:col>19</xdr:col>
      <xdr:colOff>476250</xdr:colOff>
      <xdr:row>9</xdr:row>
      <xdr:rowOff>28575</xdr:rowOff>
    </xdr:to>
    <xdr:sp macro="" textlink="">
      <xdr:nvSpPr>
        <xdr:cNvPr id="2" name="TextBox 1">
          <a:extLst>
            <a:ext uri="{FF2B5EF4-FFF2-40B4-BE49-F238E27FC236}">
              <a16:creationId xmlns:a16="http://schemas.microsoft.com/office/drawing/2014/main" id="{B715DF75-4706-4833-AE28-56D30B52A69F}"/>
            </a:ext>
          </a:extLst>
        </xdr:cNvPr>
        <xdr:cNvSpPr txBox="1"/>
      </xdr:nvSpPr>
      <xdr:spPr>
        <a:xfrm>
          <a:off x="5448300" y="323850"/>
          <a:ext cx="5962650" cy="11715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GB" sz="1100" b="1">
              <a:solidFill>
                <a:schemeClr val="dk1"/>
              </a:solidFill>
              <a:effectLst/>
              <a:latin typeface="+mn-lt"/>
              <a:ea typeface="+mn-ea"/>
              <a:cs typeface="+mn-cs"/>
            </a:rPr>
            <a:t>~Currencies </a:t>
          </a:r>
          <a:r>
            <a:rPr lang="en-GB" sz="1100" b="0">
              <a:solidFill>
                <a:schemeClr val="dk1"/>
              </a:solidFill>
              <a:effectLst/>
              <a:latin typeface="+mn-lt"/>
              <a:ea typeface="+mn-ea"/>
              <a:cs typeface="+mn-cs"/>
            </a:rPr>
            <a:t>is used :</a:t>
          </a:r>
        </a:p>
        <a:p>
          <a:pPr lvl="0"/>
          <a:r>
            <a:rPr lang="en-GB" sz="1100" b="0">
              <a:solidFill>
                <a:schemeClr val="dk1"/>
              </a:solidFill>
              <a:effectLst/>
              <a:latin typeface="+mn-lt"/>
              <a:ea typeface="+mn-ea"/>
              <a:cs typeface="+mn-cs"/>
            </a:rPr>
            <a:t>- to define a default currency for the whole model</a:t>
          </a:r>
        </a:p>
        <a:p>
          <a:pPr lvl="0"/>
          <a:endParaRPr lang="en-GB" sz="1100" b="1">
            <a:solidFill>
              <a:schemeClr val="dk1"/>
            </a:solidFill>
            <a:effectLst/>
            <a:latin typeface="+mn-lt"/>
            <a:ea typeface="+mn-ea"/>
            <a:cs typeface="+mn-cs"/>
          </a:endParaRPr>
        </a:p>
        <a:p>
          <a:pPr lvl="0"/>
          <a:r>
            <a:rPr lang="en-GB" sz="1100" b="1">
              <a:solidFill>
                <a:schemeClr val="dk1"/>
              </a:solidFill>
              <a:effectLst/>
              <a:latin typeface="+mn-lt"/>
              <a:ea typeface="+mn-ea"/>
              <a:cs typeface="+mn-cs"/>
            </a:rPr>
            <a:t>~DefUnits </a:t>
          </a:r>
          <a:r>
            <a:rPr lang="en-GB" sz="1100" b="0">
              <a:solidFill>
                <a:schemeClr val="dk1"/>
              </a:solidFill>
              <a:effectLst/>
              <a:latin typeface="+mn-lt"/>
              <a:ea typeface="+mn-ea"/>
              <a:cs typeface="+mn-cs"/>
            </a:rPr>
            <a:t>is</a:t>
          </a:r>
          <a:r>
            <a:rPr lang="en-GB" sz="1100" b="0" baseline="0">
              <a:solidFill>
                <a:schemeClr val="dk1"/>
              </a:solidFill>
              <a:effectLst/>
              <a:latin typeface="+mn-lt"/>
              <a:ea typeface="+mn-ea"/>
              <a:cs typeface="+mn-cs"/>
            </a:rPr>
            <a:t> used :</a:t>
          </a:r>
        </a:p>
        <a:p>
          <a:pPr lvl="0"/>
          <a:r>
            <a:rPr lang="en-GB" sz="1100" b="0" baseline="0">
              <a:solidFill>
                <a:schemeClr val="dk1"/>
              </a:solidFill>
              <a:effectLst/>
              <a:latin typeface="+mn-lt"/>
              <a:ea typeface="+mn-ea"/>
              <a:cs typeface="+mn-cs"/>
            </a:rPr>
            <a:t>- to define default units by activity, capacity and commodity for each sector in the model</a:t>
          </a:r>
          <a:endParaRPr lang="en-GB" sz="1100" b="0">
            <a:solidFill>
              <a:schemeClr val="dk1"/>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487680</xdr:colOff>
      <xdr:row>7</xdr:row>
      <xdr:rowOff>45720</xdr:rowOff>
    </xdr:from>
    <xdr:to>
      <xdr:col>20</xdr:col>
      <xdr:colOff>118588</xdr:colOff>
      <xdr:row>20</xdr:row>
      <xdr:rowOff>36035</xdr:rowOff>
    </xdr:to>
    <xdr:pic>
      <xdr:nvPicPr>
        <xdr:cNvPr id="2" name="Billede 1">
          <a:extLst>
            <a:ext uri="{FF2B5EF4-FFF2-40B4-BE49-F238E27FC236}">
              <a16:creationId xmlns:a16="http://schemas.microsoft.com/office/drawing/2014/main" id="{54D52C9C-9FCC-42D2-923F-4F7676ADF948}"/>
            </a:ext>
          </a:extLst>
        </xdr:cNvPr>
        <xdr:cNvPicPr>
          <a:picLocks noChangeAspect="1"/>
        </xdr:cNvPicPr>
      </xdr:nvPicPr>
      <xdr:blipFill>
        <a:blip xmlns:r="http://schemas.openxmlformats.org/officeDocument/2006/relationships" r:embed="rId1"/>
        <a:stretch>
          <a:fillRect/>
        </a:stretch>
      </xdr:blipFill>
      <xdr:spPr>
        <a:xfrm>
          <a:off x="6583680" y="617220"/>
          <a:ext cx="5726908" cy="20889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6"/>
  <sheetViews>
    <sheetView zoomScaleNormal="100" workbookViewId="0"/>
  </sheetViews>
  <sheetFormatPr defaultRowHeight="12.75" x14ac:dyDescent="0.2"/>
  <cols>
    <col min="1" max="1" width="2.140625" customWidth="1"/>
    <col min="2" max="2" width="19.140625" bestFit="1" customWidth="1"/>
    <col min="3" max="3" width="14.5703125" customWidth="1"/>
    <col min="7" max="7" width="3.42578125" customWidth="1"/>
    <col min="8" max="8" width="29.42578125" customWidth="1"/>
  </cols>
  <sheetData>
    <row r="3" spans="2:10" x14ac:dyDescent="0.2">
      <c r="B3" s="1" t="s">
        <v>9</v>
      </c>
      <c r="H3" s="1" t="s">
        <v>11</v>
      </c>
      <c r="I3" s="3"/>
      <c r="J3" s="3"/>
    </row>
    <row r="4" spans="2:10" x14ac:dyDescent="0.2">
      <c r="B4" s="2" t="s">
        <v>15</v>
      </c>
      <c r="C4" s="2" t="s">
        <v>16</v>
      </c>
      <c r="H4" s="2" t="s">
        <v>12</v>
      </c>
      <c r="I4" s="2" t="s">
        <v>13</v>
      </c>
      <c r="J4" s="2" t="s">
        <v>14</v>
      </c>
    </row>
    <row r="5" spans="2:10" x14ac:dyDescent="0.2">
      <c r="B5" s="15" t="s">
        <v>54</v>
      </c>
      <c r="C5" s="4" t="s">
        <v>54</v>
      </c>
      <c r="H5" t="s">
        <v>75</v>
      </c>
      <c r="J5" t="s">
        <v>81</v>
      </c>
    </row>
    <row r="6" spans="2:10" x14ac:dyDescent="0.2">
      <c r="B6" s="15" t="s">
        <v>83</v>
      </c>
      <c r="C6" s="64" t="s">
        <v>83</v>
      </c>
      <c r="H6" t="s">
        <v>80</v>
      </c>
      <c r="J6" t="s">
        <v>82</v>
      </c>
    </row>
  </sheetData>
  <phoneticPr fontId="8" type="noConversion"/>
  <pageMargins left="0.75" right="0.75" top="1" bottom="1" header="0.5" footer="0.5"/>
  <pageSetup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D23"/>
  <sheetViews>
    <sheetView zoomScaleNormal="100" workbookViewId="0"/>
  </sheetViews>
  <sheetFormatPr defaultRowHeight="12.75" x14ac:dyDescent="0.2"/>
  <cols>
    <col min="2" max="2" width="13.7109375" bestFit="1" customWidth="1"/>
    <col min="3" max="3" width="6.7109375" bestFit="1" customWidth="1"/>
    <col min="4" max="4" width="7.7109375" bestFit="1" customWidth="1"/>
    <col min="5" max="5" width="17.85546875" customWidth="1"/>
    <col min="6" max="6" width="8.7109375" bestFit="1" customWidth="1"/>
    <col min="8" max="8" width="11.85546875" bestFit="1" customWidth="1"/>
  </cols>
  <sheetData>
    <row r="3" spans="2:4" x14ac:dyDescent="0.2">
      <c r="B3" t="s">
        <v>38</v>
      </c>
    </row>
    <row r="4" spans="2:4" x14ac:dyDescent="0.2">
      <c r="B4">
        <v>2005</v>
      </c>
    </row>
    <row r="7" spans="2:4" x14ac:dyDescent="0.2">
      <c r="B7" t="s">
        <v>39</v>
      </c>
    </row>
    <row r="8" spans="2:4" x14ac:dyDescent="0.2">
      <c r="B8" t="s">
        <v>90</v>
      </c>
    </row>
    <row r="11" spans="2:4" x14ac:dyDescent="0.2">
      <c r="B11" t="s">
        <v>10</v>
      </c>
    </row>
    <row r="12" spans="2:4" x14ac:dyDescent="0.2">
      <c r="B12" s="65" t="s">
        <v>40</v>
      </c>
      <c r="C12" s="66" t="s">
        <v>84</v>
      </c>
      <c r="D12" s="67" t="s">
        <v>90</v>
      </c>
    </row>
    <row r="13" spans="2:4" x14ac:dyDescent="0.2">
      <c r="B13" s="14">
        <v>1</v>
      </c>
      <c r="C13" s="14">
        <v>1</v>
      </c>
      <c r="D13" s="14">
        <v>1</v>
      </c>
    </row>
    <row r="14" spans="2:4" x14ac:dyDescent="0.2">
      <c r="B14" s="14">
        <v>2</v>
      </c>
      <c r="C14" s="14">
        <v>2</v>
      </c>
      <c r="D14" s="14">
        <v>2</v>
      </c>
    </row>
    <row r="15" spans="2:4" x14ac:dyDescent="0.2">
      <c r="B15" s="14"/>
      <c r="C15" s="14">
        <v>5</v>
      </c>
      <c r="D15" s="14">
        <v>5</v>
      </c>
    </row>
    <row r="16" spans="2:4" x14ac:dyDescent="0.2">
      <c r="B16" s="14"/>
      <c r="C16" s="14">
        <v>5</v>
      </c>
      <c r="D16" s="14">
        <v>5</v>
      </c>
    </row>
    <row r="17" spans="2:4" x14ac:dyDescent="0.2">
      <c r="B17" s="14"/>
      <c r="C17" s="14">
        <v>5</v>
      </c>
      <c r="D17" s="14">
        <v>5</v>
      </c>
    </row>
    <row r="18" spans="2:4" x14ac:dyDescent="0.2">
      <c r="B18" s="14"/>
      <c r="C18" s="14"/>
      <c r="D18" s="14">
        <v>5</v>
      </c>
    </row>
    <row r="19" spans="2:4" x14ac:dyDescent="0.2">
      <c r="B19" s="14"/>
      <c r="C19" s="14"/>
      <c r="D19" s="14">
        <v>5</v>
      </c>
    </row>
    <row r="20" spans="2:4" x14ac:dyDescent="0.2">
      <c r="B20" s="14"/>
      <c r="C20" s="14"/>
      <c r="D20" s="14">
        <v>5</v>
      </c>
    </row>
    <row r="21" spans="2:4" x14ac:dyDescent="0.2">
      <c r="B21" s="14"/>
      <c r="C21" s="14"/>
      <c r="D21" s="14">
        <v>5</v>
      </c>
    </row>
    <row r="22" spans="2:4" x14ac:dyDescent="0.2">
      <c r="B22" s="14"/>
      <c r="C22" s="14"/>
      <c r="D22" s="14">
        <v>5</v>
      </c>
    </row>
    <row r="23" spans="2:4" x14ac:dyDescent="0.2">
      <c r="B23" s="14"/>
      <c r="C23" s="14"/>
      <c r="D23" s="14">
        <v>5</v>
      </c>
    </row>
  </sheetData>
  <phoneticPr fontId="8"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11"/>
  <sheetViews>
    <sheetView zoomScaleNormal="100" workbookViewId="0"/>
  </sheetViews>
  <sheetFormatPr defaultRowHeight="12.75" x14ac:dyDescent="0.2"/>
  <cols>
    <col min="1" max="1" width="2.42578125" customWidth="1"/>
    <col min="2" max="2" width="52.7109375" bestFit="1" customWidth="1"/>
  </cols>
  <sheetData>
    <row r="3" spans="2:3" x14ac:dyDescent="0.2">
      <c r="B3" s="12" t="s">
        <v>31</v>
      </c>
    </row>
    <row r="4" spans="2:3" x14ac:dyDescent="0.2">
      <c r="B4" s="13" t="s">
        <v>32</v>
      </c>
      <c r="C4" s="62" t="s">
        <v>33</v>
      </c>
    </row>
    <row r="5" spans="2:3" x14ac:dyDescent="0.2">
      <c r="B5" s="63" t="s">
        <v>34</v>
      </c>
      <c r="C5" s="63">
        <v>1</v>
      </c>
    </row>
    <row r="6" spans="2:3" x14ac:dyDescent="0.2">
      <c r="B6" s="14" t="s">
        <v>35</v>
      </c>
      <c r="C6" s="14">
        <v>1</v>
      </c>
    </row>
    <row r="7" spans="2:3" x14ac:dyDescent="0.2">
      <c r="B7" s="14" t="s">
        <v>36</v>
      </c>
      <c r="C7" s="14">
        <v>1</v>
      </c>
    </row>
    <row r="8" spans="2:3" x14ac:dyDescent="0.2">
      <c r="B8" s="14" t="s">
        <v>37</v>
      </c>
      <c r="C8" s="14">
        <v>0</v>
      </c>
    </row>
    <row r="9" spans="2:3" x14ac:dyDescent="0.2">
      <c r="B9" s="14" t="s">
        <v>98</v>
      </c>
      <c r="C9" s="14">
        <v>1</v>
      </c>
    </row>
    <row r="10" spans="2:3" x14ac:dyDescent="0.2">
      <c r="B10" s="14" t="s">
        <v>99</v>
      </c>
      <c r="C10" s="14">
        <v>0</v>
      </c>
    </row>
    <row r="11" spans="2:3" x14ac:dyDescent="0.2">
      <c r="B11" s="14" t="s">
        <v>85</v>
      </c>
      <c r="C11" s="14">
        <v>0</v>
      </c>
    </row>
  </sheetData>
  <phoneticPr fontId="8" type="noConversion"/>
  <pageMargins left="0.75" right="0.75" top="1" bottom="1" header="0.5" footer="0.5"/>
  <pageSetup orientation="portrait"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Q36"/>
  <sheetViews>
    <sheetView zoomScale="85" zoomScaleNormal="85" workbookViewId="0">
      <selection activeCell="E5" sqref="E5"/>
    </sheetView>
  </sheetViews>
  <sheetFormatPr defaultRowHeight="12.75" x14ac:dyDescent="0.2"/>
  <cols>
    <col min="1" max="1" width="2.85546875" customWidth="1"/>
    <col min="4" max="4" width="9.7109375" bestFit="1" customWidth="1"/>
    <col min="5" max="5" width="11.7109375" bestFit="1" customWidth="1"/>
    <col min="6" max="6" width="9.5703125" customWidth="1"/>
    <col min="7" max="7" width="10.7109375" bestFit="1" customWidth="1"/>
    <col min="8" max="9" width="10.7109375" customWidth="1"/>
    <col min="13" max="13" width="9.28515625" customWidth="1"/>
  </cols>
  <sheetData>
    <row r="3" spans="2:7" x14ac:dyDescent="0.2">
      <c r="B3" s="1" t="s">
        <v>100</v>
      </c>
    </row>
    <row r="4" spans="2:7" ht="13.5" thickBot="1" x14ac:dyDescent="0.25">
      <c r="B4" s="5" t="s">
        <v>19</v>
      </c>
      <c r="C4" s="5" t="s">
        <v>20</v>
      </c>
      <c r="D4" s="5" t="s">
        <v>21</v>
      </c>
      <c r="E4" s="5" t="s">
        <v>101</v>
      </c>
      <c r="F4" s="5" t="s">
        <v>2</v>
      </c>
      <c r="G4" s="5" t="s">
        <v>24</v>
      </c>
    </row>
    <row r="5" spans="2:7" x14ac:dyDescent="0.2">
      <c r="C5" t="s">
        <v>86</v>
      </c>
      <c r="D5" t="s">
        <v>87</v>
      </c>
      <c r="E5">
        <v>0</v>
      </c>
      <c r="F5">
        <v>5</v>
      </c>
    </row>
    <row r="6" spans="2:7" x14ac:dyDescent="0.2">
      <c r="C6" t="s">
        <v>86</v>
      </c>
      <c r="D6" s="15" t="s">
        <v>88</v>
      </c>
      <c r="E6" s="15">
        <v>0</v>
      </c>
      <c r="F6">
        <v>5</v>
      </c>
    </row>
    <row r="7" spans="2:7" x14ac:dyDescent="0.2">
      <c r="C7" t="s">
        <v>86</v>
      </c>
      <c r="D7" s="15" t="s">
        <v>89</v>
      </c>
      <c r="E7" s="15">
        <v>0</v>
      </c>
      <c r="F7">
        <v>5</v>
      </c>
    </row>
    <row r="18" spans="2:4" ht="19.5" customHeight="1" x14ac:dyDescent="0.2"/>
    <row r="19" spans="2:4" ht="15.75" customHeight="1" x14ac:dyDescent="0.2"/>
    <row r="30" spans="2:4" ht="15" x14ac:dyDescent="0.2">
      <c r="B30" s="6" t="s">
        <v>45</v>
      </c>
    </row>
    <row r="32" spans="2:4" ht="18" x14ac:dyDescent="0.25">
      <c r="B32" s="8" t="s">
        <v>44</v>
      </c>
      <c r="C32" s="8"/>
      <c r="D32" s="8"/>
    </row>
    <row r="33" spans="2:17" x14ac:dyDescent="0.2">
      <c r="B33" s="1" t="s">
        <v>0</v>
      </c>
    </row>
    <row r="34" spans="2:17" ht="13.5" thickBot="1" x14ac:dyDescent="0.25">
      <c r="B34" s="5" t="s">
        <v>19</v>
      </c>
      <c r="C34" s="5" t="s">
        <v>20</v>
      </c>
      <c r="D34" s="5" t="s">
        <v>21</v>
      </c>
      <c r="E34" s="5" t="s">
        <v>22</v>
      </c>
      <c r="F34" s="5" t="s">
        <v>3</v>
      </c>
      <c r="G34" s="5" t="s">
        <v>2</v>
      </c>
      <c r="H34" s="5" t="s">
        <v>54</v>
      </c>
      <c r="I34" s="5" t="s">
        <v>83</v>
      </c>
      <c r="J34" s="5" t="s">
        <v>23</v>
      </c>
      <c r="K34" s="5" t="s">
        <v>24</v>
      </c>
      <c r="L34" s="5" t="s">
        <v>30</v>
      </c>
      <c r="M34" s="5" t="s">
        <v>25</v>
      </c>
      <c r="N34" s="5" t="s">
        <v>26</v>
      </c>
      <c r="O34" s="5" t="s">
        <v>27</v>
      </c>
      <c r="P34" s="5" t="s">
        <v>28</v>
      </c>
      <c r="Q34" s="5" t="s">
        <v>29</v>
      </c>
    </row>
    <row r="35" spans="2:17" x14ac:dyDescent="0.2">
      <c r="D35" t="s">
        <v>4</v>
      </c>
      <c r="G35">
        <v>2222</v>
      </c>
      <c r="J35" t="s">
        <v>17</v>
      </c>
      <c r="K35" t="s">
        <v>1</v>
      </c>
    </row>
    <row r="36" spans="2:17" x14ac:dyDescent="0.2">
      <c r="D36" t="s">
        <v>4</v>
      </c>
      <c r="G36">
        <v>8888</v>
      </c>
      <c r="J36" t="s">
        <v>17</v>
      </c>
      <c r="K36" t="s">
        <v>5</v>
      </c>
    </row>
  </sheetData>
  <phoneticPr fontId="0" type="noConversion"/>
  <pageMargins left="0.75" right="0.75" top="1" bottom="1" header="0.5" footer="0.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H33"/>
  <sheetViews>
    <sheetView zoomScaleNormal="100" workbookViewId="0">
      <selection activeCell="E9" sqref="E9"/>
    </sheetView>
  </sheetViews>
  <sheetFormatPr defaultColWidth="9.140625" defaultRowHeight="12.75" x14ac:dyDescent="0.2"/>
  <cols>
    <col min="1" max="1" width="9.140625" style="10"/>
    <col min="2" max="2" width="12.140625" style="10" customWidth="1"/>
    <col min="3" max="3" width="10.85546875" style="10" customWidth="1"/>
    <col min="4" max="4" width="14" style="10" customWidth="1"/>
    <col min="5" max="5" width="10.42578125" style="10" bestFit="1" customWidth="1"/>
    <col min="6" max="6" width="10.42578125" style="10" customWidth="1"/>
    <col min="7" max="16384" width="9.140625" style="10"/>
  </cols>
  <sheetData>
    <row r="3" spans="2:8" ht="15" x14ac:dyDescent="0.2">
      <c r="B3" s="6" t="s">
        <v>47</v>
      </c>
    </row>
    <row r="5" spans="2:8" x14ac:dyDescent="0.2">
      <c r="B5" s="9" t="s">
        <v>18</v>
      </c>
    </row>
    <row r="6" spans="2:8" ht="13.5" thickBot="1" x14ac:dyDescent="0.25">
      <c r="B6" s="5" t="s">
        <v>19</v>
      </c>
      <c r="C6" s="5" t="s">
        <v>20</v>
      </c>
      <c r="D6" s="5" t="s">
        <v>21</v>
      </c>
      <c r="E6" s="5" t="s">
        <v>2</v>
      </c>
      <c r="F6" s="5" t="s">
        <v>54</v>
      </c>
      <c r="G6" s="5" t="s">
        <v>83</v>
      </c>
      <c r="H6" s="5" t="s">
        <v>28</v>
      </c>
    </row>
    <row r="7" spans="2:8" x14ac:dyDescent="0.2">
      <c r="D7" s="10" t="s">
        <v>56</v>
      </c>
      <c r="E7" s="10">
        <v>2005</v>
      </c>
    </row>
    <row r="8" spans="2:8" x14ac:dyDescent="0.2">
      <c r="D8" s="10" t="s">
        <v>46</v>
      </c>
      <c r="E8" s="10">
        <v>0.05</v>
      </c>
    </row>
    <row r="9" spans="2:8" x14ac:dyDescent="0.2">
      <c r="B9" s="10" t="s">
        <v>63</v>
      </c>
      <c r="D9" s="10" t="s">
        <v>55</v>
      </c>
      <c r="E9" s="16">
        <f>C23</f>
        <v>0.24971461187214614</v>
      </c>
    </row>
    <row r="10" spans="2:8" x14ac:dyDescent="0.2">
      <c r="B10" s="10" t="s">
        <v>64</v>
      </c>
      <c r="D10" s="10" t="s">
        <v>55</v>
      </c>
      <c r="E10" s="16">
        <f>D23</f>
        <v>0.22973744292237441</v>
      </c>
    </row>
    <row r="11" spans="2:8" x14ac:dyDescent="0.2">
      <c r="B11" s="10" t="s">
        <v>65</v>
      </c>
      <c r="D11" s="10" t="s">
        <v>55</v>
      </c>
      <c r="E11" s="16">
        <f>E23</f>
        <v>0.24942922374429224</v>
      </c>
    </row>
    <row r="12" spans="2:8" x14ac:dyDescent="0.2">
      <c r="B12" s="10" t="s">
        <v>66</v>
      </c>
      <c r="D12" s="10" t="s">
        <v>55</v>
      </c>
      <c r="E12" s="16">
        <f>F23</f>
        <v>0.27111872146118721</v>
      </c>
    </row>
    <row r="13" spans="2:8" x14ac:dyDescent="0.2">
      <c r="B13"/>
      <c r="C13"/>
      <c r="D13" s="10" t="s">
        <v>60</v>
      </c>
      <c r="F13" s="16">
        <v>0.9</v>
      </c>
      <c r="G13" s="16">
        <v>0.95</v>
      </c>
      <c r="H13" s="10" t="s">
        <v>61</v>
      </c>
    </row>
    <row r="14" spans="2:8" x14ac:dyDescent="0.2">
      <c r="B14"/>
      <c r="C14"/>
      <c r="F14" s="16"/>
      <c r="G14" s="16"/>
    </row>
    <row r="15" spans="2:8" x14ac:dyDescent="0.2">
      <c r="B15"/>
      <c r="C15"/>
      <c r="F15" s="16"/>
      <c r="G15" s="16"/>
    </row>
    <row r="16" spans="2:8" x14ac:dyDescent="0.2">
      <c r="B16"/>
      <c r="C16"/>
      <c r="D16"/>
    </row>
    <row r="17" spans="2:7" x14ac:dyDescent="0.2">
      <c r="B17"/>
      <c r="C17"/>
      <c r="D17"/>
    </row>
    <row r="18" spans="2:7" x14ac:dyDescent="0.2">
      <c r="B18"/>
      <c r="C18"/>
      <c r="D18"/>
    </row>
    <row r="19" spans="2:7" ht="18" x14ac:dyDescent="0.25">
      <c r="B19" s="18" t="s">
        <v>62</v>
      </c>
      <c r="C19" s="19"/>
      <c r="D19" s="20"/>
      <c r="E19" s="20"/>
      <c r="F19" s="20"/>
      <c r="G19" s="20"/>
    </row>
    <row r="20" spans="2:7" x14ac:dyDescent="0.2">
      <c r="C20" s="21"/>
      <c r="D20" s="21"/>
    </row>
    <row r="21" spans="2:7" x14ac:dyDescent="0.2">
      <c r="B21" s="22" t="s">
        <v>21</v>
      </c>
      <c r="C21" s="23" t="s">
        <v>63</v>
      </c>
      <c r="D21" s="24" t="s">
        <v>64</v>
      </c>
      <c r="E21" s="24" t="s">
        <v>65</v>
      </c>
      <c r="F21" s="25" t="s">
        <v>66</v>
      </c>
    </row>
    <row r="22" spans="2:7" ht="24" x14ac:dyDescent="0.2">
      <c r="B22" s="26"/>
      <c r="C22" s="27" t="s">
        <v>67</v>
      </c>
      <c r="D22" s="28" t="s">
        <v>68</v>
      </c>
      <c r="E22" s="28" t="s">
        <v>69</v>
      </c>
      <c r="F22" s="29" t="s">
        <v>70</v>
      </c>
    </row>
    <row r="23" spans="2:7" x14ac:dyDescent="0.2">
      <c r="B23" s="22" t="s">
        <v>55</v>
      </c>
      <c r="C23" s="30">
        <f>C32/$F32*$E27</f>
        <v>0.24971461187214614</v>
      </c>
      <c r="D23" s="31">
        <f>D32/$F32*$E27</f>
        <v>0.22973744292237441</v>
      </c>
      <c r="E23" s="31">
        <f>C33/$F33*$E28</f>
        <v>0.24942922374429224</v>
      </c>
      <c r="F23" s="32">
        <f>D33/$F33*$E28</f>
        <v>0.27111872146118721</v>
      </c>
      <c r="G23" s="33">
        <f>SUM(C23:F23)</f>
        <v>1</v>
      </c>
    </row>
    <row r="24" spans="2:7" x14ac:dyDescent="0.2">
      <c r="B24" s="34"/>
      <c r="C24" s="34"/>
      <c r="D24" s="34"/>
      <c r="E24" s="34"/>
      <c r="F24" s="34"/>
    </row>
    <row r="25" spans="2:7" x14ac:dyDescent="0.2">
      <c r="B25" s="34"/>
      <c r="C25" s="35"/>
      <c r="D25" s="35"/>
      <c r="E25" s="35"/>
      <c r="F25" s="34"/>
      <c r="G25" s="34"/>
    </row>
    <row r="26" spans="2:7" x14ac:dyDescent="0.2">
      <c r="B26" s="34"/>
      <c r="C26" s="36" t="s">
        <v>71</v>
      </c>
      <c r="D26" s="37" t="s">
        <v>72</v>
      </c>
      <c r="E26" s="38" t="s">
        <v>73</v>
      </c>
      <c r="F26" s="39"/>
      <c r="G26" s="34"/>
    </row>
    <row r="27" spans="2:7" x14ac:dyDescent="0.2">
      <c r="B27" s="40" t="s">
        <v>74</v>
      </c>
      <c r="C27" s="41" t="s">
        <v>75</v>
      </c>
      <c r="D27" s="42">
        <v>175</v>
      </c>
      <c r="E27" s="43">
        <f>D27/D29</f>
        <v>0.47945205479452052</v>
      </c>
      <c r="F27" s="44"/>
      <c r="G27" s="34"/>
    </row>
    <row r="28" spans="2:7" x14ac:dyDescent="0.2">
      <c r="B28" s="45" t="s">
        <v>76</v>
      </c>
      <c r="C28" s="46" t="s">
        <v>77</v>
      </c>
      <c r="D28" s="47">
        <f>365-D27</f>
        <v>190</v>
      </c>
      <c r="E28" s="48">
        <f>D28/D29</f>
        <v>0.52054794520547942</v>
      </c>
      <c r="F28" s="44"/>
      <c r="G28" s="34"/>
    </row>
    <row r="29" spans="2:7" x14ac:dyDescent="0.2">
      <c r="B29" s="34"/>
      <c r="C29" s="34"/>
      <c r="D29" s="49">
        <f>SUM(D27:D28)</f>
        <v>365</v>
      </c>
      <c r="E29" s="50">
        <f>SUM(E27:E28)</f>
        <v>1</v>
      </c>
      <c r="F29" s="51"/>
      <c r="G29" s="34"/>
    </row>
    <row r="30" spans="2:7" x14ac:dyDescent="0.2">
      <c r="B30" s="34"/>
      <c r="C30" s="34"/>
      <c r="D30" s="52"/>
      <c r="E30" s="34"/>
      <c r="F30" s="34"/>
      <c r="G30" s="34"/>
    </row>
    <row r="31" spans="2:7" x14ac:dyDescent="0.2">
      <c r="B31" s="53"/>
      <c r="C31" s="54" t="s">
        <v>78</v>
      </c>
      <c r="D31" s="38" t="s">
        <v>79</v>
      </c>
      <c r="E31" s="55"/>
      <c r="F31" s="34"/>
      <c r="G31" s="34"/>
    </row>
    <row r="32" spans="2:7" x14ac:dyDescent="0.2">
      <c r="B32" s="56" t="s">
        <v>75</v>
      </c>
      <c r="C32" s="57">
        <v>12.5</v>
      </c>
      <c r="D32" s="58">
        <v>11.5</v>
      </c>
      <c r="E32" s="51"/>
      <c r="F32" s="51">
        <f>SUM(C32:E32)</f>
        <v>24</v>
      </c>
      <c r="G32" s="34"/>
    </row>
    <row r="33" spans="2:7" x14ac:dyDescent="0.2">
      <c r="B33" s="59" t="s">
        <v>80</v>
      </c>
      <c r="C33" s="60">
        <v>11.5</v>
      </c>
      <c r="D33" s="61">
        <v>12.5</v>
      </c>
      <c r="E33" s="51"/>
      <c r="F33" s="51">
        <f>SUM(C33:E33)</f>
        <v>24</v>
      </c>
      <c r="G33" s="34"/>
    </row>
  </sheetData>
  <phoneticPr fontId="0" type="noConversion"/>
  <pageMargins left="0.7" right="0.7" top="0.75" bottom="0.75" header="0.3" footer="0.3"/>
  <pageSetup paperSize="9"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6"/>
  <sheetViews>
    <sheetView workbookViewId="0"/>
  </sheetViews>
  <sheetFormatPr defaultRowHeight="12.75" x14ac:dyDescent="0.2"/>
  <cols>
    <col min="2" max="2" width="11.7109375" bestFit="1" customWidth="1"/>
    <col min="4" max="4" width="15.5703125" bestFit="1" customWidth="1"/>
    <col min="5" max="5" width="4" bestFit="1" customWidth="1"/>
    <col min="6" max="6" width="4.5703125" bestFit="1" customWidth="1"/>
    <col min="7" max="7" width="4.28515625" bestFit="1" customWidth="1"/>
    <col min="8" max="8" width="5" bestFit="1" customWidth="1"/>
  </cols>
  <sheetData>
    <row r="2" spans="2:9" x14ac:dyDescent="0.2">
      <c r="B2" s="1" t="s">
        <v>48</v>
      </c>
      <c r="D2" s="1" t="s">
        <v>50</v>
      </c>
    </row>
    <row r="3" spans="2:9" ht="13.5" thickBot="1" x14ac:dyDescent="0.25">
      <c r="B3" s="11" t="s">
        <v>49</v>
      </c>
      <c r="D3" s="11" t="s">
        <v>32</v>
      </c>
      <c r="E3" s="17" t="s">
        <v>58</v>
      </c>
      <c r="F3" s="17" t="s">
        <v>61</v>
      </c>
      <c r="G3" s="17" t="s">
        <v>92</v>
      </c>
      <c r="H3" s="17" t="s">
        <v>93</v>
      </c>
      <c r="I3" s="17" t="s">
        <v>94</v>
      </c>
    </row>
    <row r="4" spans="2:9" x14ac:dyDescent="0.2">
      <c r="B4" s="15" t="s">
        <v>97</v>
      </c>
      <c r="D4" t="s">
        <v>51</v>
      </c>
      <c r="E4" s="15" t="s">
        <v>57</v>
      </c>
      <c r="F4" s="15" t="s">
        <v>57</v>
      </c>
      <c r="G4" s="15" t="s">
        <v>57</v>
      </c>
      <c r="H4" s="15" t="s">
        <v>57</v>
      </c>
      <c r="I4" s="15" t="s">
        <v>95</v>
      </c>
    </row>
    <row r="5" spans="2:9" x14ac:dyDescent="0.2">
      <c r="D5" t="s">
        <v>52</v>
      </c>
      <c r="E5" s="15" t="s">
        <v>59</v>
      </c>
      <c r="F5" s="15" t="s">
        <v>91</v>
      </c>
      <c r="G5" s="15" t="s">
        <v>91</v>
      </c>
      <c r="H5" s="15" t="s">
        <v>59</v>
      </c>
      <c r="I5" s="15" t="s">
        <v>96</v>
      </c>
    </row>
    <row r="6" spans="2:9" x14ac:dyDescent="0.2">
      <c r="D6" t="s">
        <v>53</v>
      </c>
      <c r="E6" t="s">
        <v>57</v>
      </c>
      <c r="F6" t="s">
        <v>57</v>
      </c>
      <c r="G6" t="s">
        <v>57</v>
      </c>
      <c r="H6" t="s">
        <v>57</v>
      </c>
      <c r="I6" s="15" t="s">
        <v>95</v>
      </c>
    </row>
  </sheetData>
  <phoneticPr fontId="0"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L199"/>
  <sheetViews>
    <sheetView zoomScaleNormal="100" workbookViewId="0">
      <selection activeCell="G13" sqref="G13"/>
    </sheetView>
  </sheetViews>
  <sheetFormatPr defaultRowHeight="12.75" x14ac:dyDescent="0.2"/>
  <cols>
    <col min="1" max="1" width="3.140625" customWidth="1"/>
    <col min="2" max="2" width="15.7109375" customWidth="1"/>
    <col min="3" max="3" width="30" bestFit="1" customWidth="1"/>
    <col min="4" max="4" width="8.7109375" bestFit="1" customWidth="1"/>
    <col min="5" max="6" width="8.42578125" bestFit="1" customWidth="1"/>
    <col min="7" max="8" width="11.28515625" customWidth="1"/>
    <col min="9" max="11" width="11.85546875" customWidth="1"/>
  </cols>
  <sheetData>
    <row r="2" spans="2:12" ht="15" x14ac:dyDescent="0.2">
      <c r="B2" s="6" t="s">
        <v>41</v>
      </c>
      <c r="C2" s="7"/>
      <c r="D2" s="7"/>
      <c r="E2" s="7"/>
      <c r="F2" s="7"/>
      <c r="G2" s="7"/>
      <c r="H2" s="7"/>
    </row>
    <row r="4" spans="2:12" ht="21" customHeight="1" x14ac:dyDescent="0.25">
      <c r="B4" s="8" t="s">
        <v>6</v>
      </c>
      <c r="C4" s="8"/>
      <c r="D4" s="8"/>
      <c r="E4" s="8"/>
      <c r="F4" s="8"/>
    </row>
    <row r="5" spans="2:12" ht="18" customHeight="1" x14ac:dyDescent="0.2">
      <c r="B5" s="1" t="s">
        <v>136</v>
      </c>
    </row>
    <row r="6" spans="2:12" ht="18.75" customHeight="1" thickBot="1" x14ac:dyDescent="0.25">
      <c r="B6" s="5" t="s">
        <v>7</v>
      </c>
      <c r="C6" s="5" t="s">
        <v>8</v>
      </c>
      <c r="D6" s="5" t="s">
        <v>27</v>
      </c>
      <c r="E6" s="5" t="s">
        <v>28</v>
      </c>
      <c r="F6" s="5" t="s">
        <v>29</v>
      </c>
      <c r="G6" s="5" t="s">
        <v>2</v>
      </c>
    </row>
    <row r="7" spans="2:12" ht="27" thickBot="1" x14ac:dyDescent="0.3">
      <c r="B7" s="70" t="s">
        <v>42</v>
      </c>
      <c r="C7" s="70" t="s">
        <v>43</v>
      </c>
      <c r="D7" s="70"/>
      <c r="E7" s="70"/>
      <c r="F7" s="70"/>
      <c r="G7" s="70"/>
      <c r="J7" s="72" t="s">
        <v>7</v>
      </c>
      <c r="K7" s="72" t="s">
        <v>8</v>
      </c>
      <c r="L7" s="72" t="s">
        <v>120</v>
      </c>
    </row>
    <row r="8" spans="2:12" ht="15" x14ac:dyDescent="0.25">
      <c r="B8" t="str">
        <f t="shared" ref="B8:B13" si="0">IF(J8=0,"",J8)</f>
        <v>NRG_ELC</v>
      </c>
      <c r="C8" t="str">
        <f t="shared" ref="C8:C13" si="1">IF(J8=0,"",K8)</f>
        <v>Electricity</v>
      </c>
      <c r="D8" t="str">
        <f t="shared" ref="D8:D13" si="2">IF(J8=0,"",J8)</f>
        <v>NRG_ELC</v>
      </c>
      <c r="G8" t="str">
        <f>IF(J8=0,"","y")</f>
        <v>y</v>
      </c>
      <c r="J8" s="71" t="s">
        <v>121</v>
      </c>
      <c r="K8" s="71" t="s">
        <v>122</v>
      </c>
      <c r="L8" s="71" t="s">
        <v>123</v>
      </c>
    </row>
    <row r="9" spans="2:12" ht="15" x14ac:dyDescent="0.25">
      <c r="B9" t="str">
        <f t="shared" si="0"/>
        <v>NRG_GAS</v>
      </c>
      <c r="C9" t="str">
        <f t="shared" si="1"/>
        <v>Gas</v>
      </c>
      <c r="D9" t="str">
        <f t="shared" si="2"/>
        <v>NRG_GAS</v>
      </c>
      <c r="G9" t="s">
        <v>119</v>
      </c>
      <c r="J9" s="71" t="s">
        <v>124</v>
      </c>
      <c r="K9" s="71" t="s">
        <v>125</v>
      </c>
      <c r="L9" s="71" t="s">
        <v>123</v>
      </c>
    </row>
    <row r="10" spans="2:12" ht="15" x14ac:dyDescent="0.25">
      <c r="B10" t="str">
        <f t="shared" si="0"/>
        <v>NRG_NUK</v>
      </c>
      <c r="C10" t="str">
        <f t="shared" si="1"/>
        <v>Nuclear</v>
      </c>
      <c r="D10" t="str">
        <f t="shared" si="2"/>
        <v>NRG_NUK</v>
      </c>
      <c r="G10" t="s">
        <v>119</v>
      </c>
      <c r="J10" s="71" t="s">
        <v>126</v>
      </c>
      <c r="K10" s="71" t="s">
        <v>127</v>
      </c>
      <c r="L10" s="71" t="s">
        <v>123</v>
      </c>
    </row>
    <row r="11" spans="2:12" ht="15" x14ac:dyDescent="0.25">
      <c r="B11" t="str">
        <f t="shared" si="0"/>
        <v>NRG_OIL</v>
      </c>
      <c r="C11" t="str">
        <f t="shared" si="1"/>
        <v>Oil</v>
      </c>
      <c r="D11" t="str">
        <f t="shared" si="2"/>
        <v>NRG_OIL</v>
      </c>
      <c r="G11" t="s">
        <v>119</v>
      </c>
      <c r="J11" s="71" t="s">
        <v>128</v>
      </c>
      <c r="K11" s="71" t="s">
        <v>129</v>
      </c>
      <c r="L11" s="71" t="s">
        <v>123</v>
      </c>
    </row>
    <row r="12" spans="2:12" ht="15" x14ac:dyDescent="0.25">
      <c r="B12" t="str">
        <f t="shared" si="0"/>
        <v>NRG_RNW</v>
      </c>
      <c r="C12" t="str">
        <f t="shared" si="1"/>
        <v>Renewable</v>
      </c>
      <c r="D12" t="str">
        <f t="shared" si="2"/>
        <v>NRG_RNW</v>
      </c>
      <c r="G12" t="s">
        <v>119</v>
      </c>
      <c r="J12" s="71" t="s">
        <v>130</v>
      </c>
      <c r="K12" s="71" t="s">
        <v>131</v>
      </c>
      <c r="L12" s="71" t="s">
        <v>123</v>
      </c>
    </row>
    <row r="13" spans="2:12" ht="15" x14ac:dyDescent="0.25">
      <c r="B13" t="str">
        <f t="shared" si="0"/>
        <v>NRG_COA</v>
      </c>
      <c r="C13" t="str">
        <f t="shared" si="1"/>
        <v>Coal</v>
      </c>
      <c r="D13" t="str">
        <f t="shared" si="2"/>
        <v>NRG_COA</v>
      </c>
      <c r="G13" t="s">
        <v>119</v>
      </c>
      <c r="J13" s="71" t="s">
        <v>132</v>
      </c>
      <c r="K13" s="71" t="s">
        <v>133</v>
      </c>
      <c r="L13" s="71" t="s">
        <v>123</v>
      </c>
    </row>
    <row r="14" spans="2:12" ht="15" x14ac:dyDescent="0.25">
      <c r="B14" t="str">
        <f t="shared" ref="B14:B72" si="3">IF(J14=0,"",J14)</f>
        <v>NRG_BIO</v>
      </c>
      <c r="C14" t="str">
        <f t="shared" ref="C14:C72" si="4">IF(J14=0,"",K14)</f>
        <v>Biomass</v>
      </c>
      <c r="D14" t="str">
        <f t="shared" ref="D14:D72" si="5">IF(J14=0,"",J14)</f>
        <v>NRG_BIO</v>
      </c>
      <c r="G14" t="str">
        <f t="shared" ref="G14:G77" si="6">IF(J14=0,"","y")</f>
        <v>y</v>
      </c>
      <c r="J14" s="71" t="s">
        <v>134</v>
      </c>
      <c r="K14" s="71" t="s">
        <v>135</v>
      </c>
      <c r="L14" s="71" t="s">
        <v>123</v>
      </c>
    </row>
    <row r="15" spans="2:12" ht="15" x14ac:dyDescent="0.25">
      <c r="B15" t="str">
        <f t="shared" si="3"/>
        <v>ENV_CO2</v>
      </c>
      <c r="C15" t="s">
        <v>140</v>
      </c>
      <c r="D15" t="str">
        <f t="shared" si="5"/>
        <v>ENV_CO2</v>
      </c>
      <c r="G15" t="str">
        <f t="shared" si="6"/>
        <v>y</v>
      </c>
      <c r="J15" s="71" t="s">
        <v>137</v>
      </c>
      <c r="K15" t="s">
        <v>140</v>
      </c>
      <c r="L15" s="71" t="s">
        <v>123</v>
      </c>
    </row>
    <row r="16" spans="2:12" ht="15" x14ac:dyDescent="0.25">
      <c r="B16" t="str">
        <f t="shared" si="3"/>
        <v>DEM_COM</v>
      </c>
      <c r="C16" t="str">
        <f t="shared" si="4"/>
        <v>Demand commodity</v>
      </c>
      <c r="D16" t="str">
        <f t="shared" si="5"/>
        <v>DEM_COM</v>
      </c>
      <c r="G16" t="str">
        <f t="shared" si="6"/>
        <v>y</v>
      </c>
      <c r="J16" s="71" t="s">
        <v>138</v>
      </c>
      <c r="K16" s="71" t="s">
        <v>139</v>
      </c>
      <c r="L16" s="71" t="s">
        <v>123</v>
      </c>
    </row>
    <row r="17" spans="2:7" x14ac:dyDescent="0.2">
      <c r="B17" t="str">
        <f t="shared" si="3"/>
        <v/>
      </c>
      <c r="C17" t="str">
        <f t="shared" si="4"/>
        <v/>
      </c>
      <c r="D17" t="str">
        <f t="shared" si="5"/>
        <v/>
      </c>
      <c r="G17" t="str">
        <f t="shared" si="6"/>
        <v/>
      </c>
    </row>
    <row r="18" spans="2:7" x14ac:dyDescent="0.2">
      <c r="B18" t="str">
        <f t="shared" si="3"/>
        <v/>
      </c>
      <c r="C18" t="str">
        <f t="shared" si="4"/>
        <v/>
      </c>
      <c r="D18" t="str">
        <f t="shared" si="5"/>
        <v/>
      </c>
      <c r="G18" t="str">
        <f t="shared" si="6"/>
        <v/>
      </c>
    </row>
    <row r="19" spans="2:7" x14ac:dyDescent="0.2">
      <c r="B19" t="str">
        <f t="shared" si="3"/>
        <v/>
      </c>
      <c r="C19" t="str">
        <f t="shared" si="4"/>
        <v/>
      </c>
      <c r="D19" t="str">
        <f t="shared" si="5"/>
        <v/>
      </c>
      <c r="G19" t="str">
        <f t="shared" si="6"/>
        <v/>
      </c>
    </row>
    <row r="20" spans="2:7" x14ac:dyDescent="0.2">
      <c r="B20" t="str">
        <f t="shared" si="3"/>
        <v/>
      </c>
      <c r="C20" t="str">
        <f t="shared" si="4"/>
        <v/>
      </c>
      <c r="D20" t="str">
        <f t="shared" si="5"/>
        <v/>
      </c>
      <c r="G20" t="str">
        <f t="shared" si="6"/>
        <v/>
      </c>
    </row>
    <row r="21" spans="2:7" x14ac:dyDescent="0.2">
      <c r="B21" t="str">
        <f t="shared" si="3"/>
        <v/>
      </c>
      <c r="C21" t="str">
        <f t="shared" si="4"/>
        <v/>
      </c>
      <c r="D21" t="str">
        <f t="shared" si="5"/>
        <v/>
      </c>
      <c r="G21" t="str">
        <f t="shared" si="6"/>
        <v/>
      </c>
    </row>
    <row r="22" spans="2:7" x14ac:dyDescent="0.2">
      <c r="B22" t="str">
        <f t="shared" si="3"/>
        <v/>
      </c>
      <c r="C22" t="str">
        <f t="shared" si="4"/>
        <v/>
      </c>
      <c r="D22" t="str">
        <f t="shared" si="5"/>
        <v/>
      </c>
      <c r="G22" t="str">
        <f t="shared" si="6"/>
        <v/>
      </c>
    </row>
    <row r="23" spans="2:7" x14ac:dyDescent="0.2">
      <c r="B23" t="str">
        <f t="shared" si="3"/>
        <v/>
      </c>
      <c r="C23" t="str">
        <f t="shared" si="4"/>
        <v/>
      </c>
      <c r="D23" t="str">
        <f t="shared" si="5"/>
        <v/>
      </c>
      <c r="G23" t="str">
        <f t="shared" si="6"/>
        <v/>
      </c>
    </row>
    <row r="24" spans="2:7" x14ac:dyDescent="0.2">
      <c r="B24" t="str">
        <f t="shared" si="3"/>
        <v/>
      </c>
      <c r="C24" t="str">
        <f t="shared" si="4"/>
        <v/>
      </c>
      <c r="D24" t="str">
        <f t="shared" si="5"/>
        <v/>
      </c>
      <c r="G24" t="str">
        <f t="shared" si="6"/>
        <v/>
      </c>
    </row>
    <row r="25" spans="2:7" x14ac:dyDescent="0.2">
      <c r="B25" t="str">
        <f t="shared" si="3"/>
        <v/>
      </c>
      <c r="C25" t="str">
        <f t="shared" si="4"/>
        <v/>
      </c>
      <c r="D25" t="str">
        <f t="shared" si="5"/>
        <v/>
      </c>
      <c r="G25" t="str">
        <f t="shared" si="6"/>
        <v/>
      </c>
    </row>
    <row r="26" spans="2:7" x14ac:dyDescent="0.2">
      <c r="B26" t="str">
        <f t="shared" si="3"/>
        <v/>
      </c>
      <c r="C26" t="str">
        <f t="shared" si="4"/>
        <v/>
      </c>
      <c r="D26" t="str">
        <f t="shared" si="5"/>
        <v/>
      </c>
      <c r="G26" t="str">
        <f t="shared" si="6"/>
        <v/>
      </c>
    </row>
    <row r="27" spans="2:7" x14ac:dyDescent="0.2">
      <c r="B27" t="str">
        <f t="shared" si="3"/>
        <v/>
      </c>
      <c r="C27" t="str">
        <f t="shared" si="4"/>
        <v/>
      </c>
      <c r="D27" t="str">
        <f t="shared" si="5"/>
        <v/>
      </c>
      <c r="G27" t="str">
        <f t="shared" si="6"/>
        <v/>
      </c>
    </row>
    <row r="28" spans="2:7" x14ac:dyDescent="0.2">
      <c r="B28" t="str">
        <f t="shared" si="3"/>
        <v/>
      </c>
      <c r="C28" t="str">
        <f t="shared" si="4"/>
        <v/>
      </c>
      <c r="D28" t="str">
        <f t="shared" si="5"/>
        <v/>
      </c>
      <c r="G28" t="str">
        <f t="shared" si="6"/>
        <v/>
      </c>
    </row>
    <row r="29" spans="2:7" x14ac:dyDescent="0.2">
      <c r="B29" t="str">
        <f t="shared" si="3"/>
        <v/>
      </c>
      <c r="C29" t="str">
        <f t="shared" si="4"/>
        <v/>
      </c>
      <c r="D29" t="str">
        <f t="shared" si="5"/>
        <v/>
      </c>
      <c r="G29" t="str">
        <f t="shared" si="6"/>
        <v/>
      </c>
    </row>
    <row r="30" spans="2:7" x14ac:dyDescent="0.2">
      <c r="B30" t="str">
        <f t="shared" si="3"/>
        <v/>
      </c>
      <c r="C30" t="str">
        <f t="shared" si="4"/>
        <v/>
      </c>
      <c r="D30" t="str">
        <f t="shared" si="5"/>
        <v/>
      </c>
      <c r="G30" t="str">
        <f t="shared" si="6"/>
        <v/>
      </c>
    </row>
    <row r="31" spans="2:7" x14ac:dyDescent="0.2">
      <c r="B31" t="str">
        <f t="shared" si="3"/>
        <v/>
      </c>
      <c r="C31" t="str">
        <f t="shared" si="4"/>
        <v/>
      </c>
      <c r="D31" t="str">
        <f t="shared" si="5"/>
        <v/>
      </c>
      <c r="G31" t="str">
        <f t="shared" si="6"/>
        <v/>
      </c>
    </row>
    <row r="32" spans="2:7" x14ac:dyDescent="0.2">
      <c r="B32" t="str">
        <f t="shared" si="3"/>
        <v/>
      </c>
      <c r="C32" t="str">
        <f t="shared" si="4"/>
        <v/>
      </c>
      <c r="D32" t="str">
        <f t="shared" si="5"/>
        <v/>
      </c>
      <c r="G32" t="str">
        <f t="shared" si="6"/>
        <v/>
      </c>
    </row>
    <row r="33" spans="2:7" x14ac:dyDescent="0.2">
      <c r="B33" t="str">
        <f t="shared" si="3"/>
        <v/>
      </c>
      <c r="C33" t="str">
        <f t="shared" si="4"/>
        <v/>
      </c>
      <c r="D33" t="str">
        <f t="shared" si="5"/>
        <v/>
      </c>
      <c r="G33" t="str">
        <f t="shared" si="6"/>
        <v/>
      </c>
    </row>
    <row r="34" spans="2:7" x14ac:dyDescent="0.2">
      <c r="B34" t="str">
        <f t="shared" si="3"/>
        <v/>
      </c>
      <c r="C34" t="str">
        <f t="shared" si="4"/>
        <v/>
      </c>
      <c r="D34" t="str">
        <f t="shared" si="5"/>
        <v/>
      </c>
      <c r="G34" t="str">
        <f t="shared" si="6"/>
        <v/>
      </c>
    </row>
    <row r="35" spans="2:7" x14ac:dyDescent="0.2">
      <c r="B35" t="str">
        <f t="shared" si="3"/>
        <v/>
      </c>
      <c r="C35" t="str">
        <f t="shared" si="4"/>
        <v/>
      </c>
      <c r="D35" t="str">
        <f t="shared" si="5"/>
        <v/>
      </c>
      <c r="G35" t="str">
        <f t="shared" si="6"/>
        <v/>
      </c>
    </row>
    <row r="36" spans="2:7" x14ac:dyDescent="0.2">
      <c r="B36" t="str">
        <f t="shared" si="3"/>
        <v/>
      </c>
      <c r="C36" t="str">
        <f t="shared" si="4"/>
        <v/>
      </c>
      <c r="D36" t="str">
        <f t="shared" si="5"/>
        <v/>
      </c>
      <c r="G36" t="str">
        <f t="shared" si="6"/>
        <v/>
      </c>
    </row>
    <row r="37" spans="2:7" x14ac:dyDescent="0.2">
      <c r="B37" t="str">
        <f t="shared" si="3"/>
        <v/>
      </c>
      <c r="C37" t="str">
        <f t="shared" si="4"/>
        <v/>
      </c>
      <c r="D37" t="str">
        <f t="shared" si="5"/>
        <v/>
      </c>
      <c r="G37" t="str">
        <f t="shared" si="6"/>
        <v/>
      </c>
    </row>
    <row r="38" spans="2:7" x14ac:dyDescent="0.2">
      <c r="B38" t="str">
        <f t="shared" si="3"/>
        <v/>
      </c>
      <c r="C38" t="str">
        <f t="shared" si="4"/>
        <v/>
      </c>
      <c r="D38" t="str">
        <f t="shared" si="5"/>
        <v/>
      </c>
      <c r="G38" t="str">
        <f t="shared" si="6"/>
        <v/>
      </c>
    </row>
    <row r="39" spans="2:7" x14ac:dyDescent="0.2">
      <c r="B39" t="str">
        <f t="shared" si="3"/>
        <v/>
      </c>
      <c r="C39" t="str">
        <f t="shared" si="4"/>
        <v/>
      </c>
      <c r="D39" t="str">
        <f t="shared" si="5"/>
        <v/>
      </c>
      <c r="G39" t="str">
        <f t="shared" si="6"/>
        <v/>
      </c>
    </row>
    <row r="40" spans="2:7" x14ac:dyDescent="0.2">
      <c r="B40" t="str">
        <f t="shared" si="3"/>
        <v/>
      </c>
      <c r="C40" t="str">
        <f t="shared" si="4"/>
        <v/>
      </c>
      <c r="D40" t="str">
        <f t="shared" si="5"/>
        <v/>
      </c>
      <c r="G40" t="str">
        <f t="shared" si="6"/>
        <v/>
      </c>
    </row>
    <row r="41" spans="2:7" x14ac:dyDescent="0.2">
      <c r="B41" t="str">
        <f t="shared" si="3"/>
        <v/>
      </c>
      <c r="C41" t="str">
        <f t="shared" si="4"/>
        <v/>
      </c>
      <c r="D41" t="str">
        <f t="shared" si="5"/>
        <v/>
      </c>
      <c r="G41" t="str">
        <f t="shared" si="6"/>
        <v/>
      </c>
    </row>
    <row r="42" spans="2:7" x14ac:dyDescent="0.2">
      <c r="B42" t="str">
        <f t="shared" si="3"/>
        <v/>
      </c>
      <c r="C42" t="str">
        <f t="shared" si="4"/>
        <v/>
      </c>
      <c r="D42" t="str">
        <f t="shared" si="5"/>
        <v/>
      </c>
      <c r="G42" t="str">
        <f t="shared" si="6"/>
        <v/>
      </c>
    </row>
    <row r="43" spans="2:7" x14ac:dyDescent="0.2">
      <c r="B43" t="str">
        <f t="shared" si="3"/>
        <v/>
      </c>
      <c r="C43" t="str">
        <f t="shared" si="4"/>
        <v/>
      </c>
      <c r="D43" t="str">
        <f t="shared" si="5"/>
        <v/>
      </c>
      <c r="G43" t="str">
        <f t="shared" si="6"/>
        <v/>
      </c>
    </row>
    <row r="44" spans="2:7" x14ac:dyDescent="0.2">
      <c r="B44" t="str">
        <f t="shared" si="3"/>
        <v/>
      </c>
      <c r="C44" t="str">
        <f t="shared" si="4"/>
        <v/>
      </c>
      <c r="D44" t="str">
        <f t="shared" si="5"/>
        <v/>
      </c>
      <c r="G44" t="str">
        <f t="shared" si="6"/>
        <v/>
      </c>
    </row>
    <row r="45" spans="2:7" x14ac:dyDescent="0.2">
      <c r="B45" t="str">
        <f t="shared" si="3"/>
        <v/>
      </c>
      <c r="C45" t="str">
        <f t="shared" si="4"/>
        <v/>
      </c>
      <c r="D45" t="str">
        <f t="shared" si="5"/>
        <v/>
      </c>
      <c r="G45" t="str">
        <f t="shared" si="6"/>
        <v/>
      </c>
    </row>
    <row r="46" spans="2:7" x14ac:dyDescent="0.2">
      <c r="B46" t="str">
        <f t="shared" si="3"/>
        <v/>
      </c>
      <c r="C46" t="str">
        <f t="shared" si="4"/>
        <v/>
      </c>
      <c r="D46" t="str">
        <f t="shared" si="5"/>
        <v/>
      </c>
      <c r="G46" t="str">
        <f t="shared" si="6"/>
        <v/>
      </c>
    </row>
    <row r="47" spans="2:7" x14ac:dyDescent="0.2">
      <c r="B47" t="str">
        <f t="shared" si="3"/>
        <v/>
      </c>
      <c r="C47" t="str">
        <f t="shared" si="4"/>
        <v/>
      </c>
      <c r="D47" t="str">
        <f t="shared" si="5"/>
        <v/>
      </c>
      <c r="G47" t="str">
        <f t="shared" si="6"/>
        <v/>
      </c>
    </row>
    <row r="48" spans="2:7" x14ac:dyDescent="0.2">
      <c r="B48" t="str">
        <f t="shared" si="3"/>
        <v/>
      </c>
      <c r="C48" t="str">
        <f t="shared" si="4"/>
        <v/>
      </c>
      <c r="D48" t="str">
        <f t="shared" si="5"/>
        <v/>
      </c>
      <c r="G48" t="str">
        <f t="shared" si="6"/>
        <v/>
      </c>
    </row>
    <row r="49" spans="2:7" x14ac:dyDescent="0.2">
      <c r="B49" t="str">
        <f t="shared" si="3"/>
        <v/>
      </c>
      <c r="C49" t="str">
        <f t="shared" si="4"/>
        <v/>
      </c>
      <c r="D49" t="str">
        <f t="shared" si="5"/>
        <v/>
      </c>
      <c r="G49" t="str">
        <f t="shared" si="6"/>
        <v/>
      </c>
    </row>
    <row r="50" spans="2:7" x14ac:dyDescent="0.2">
      <c r="B50" t="str">
        <f t="shared" si="3"/>
        <v/>
      </c>
      <c r="C50" t="str">
        <f t="shared" si="4"/>
        <v/>
      </c>
      <c r="D50" t="str">
        <f t="shared" si="5"/>
        <v/>
      </c>
      <c r="G50" t="str">
        <f t="shared" si="6"/>
        <v/>
      </c>
    </row>
    <row r="51" spans="2:7" x14ac:dyDescent="0.2">
      <c r="B51" t="str">
        <f t="shared" si="3"/>
        <v/>
      </c>
      <c r="C51" t="str">
        <f t="shared" si="4"/>
        <v/>
      </c>
      <c r="D51" t="str">
        <f t="shared" si="5"/>
        <v/>
      </c>
      <c r="G51" t="str">
        <f t="shared" si="6"/>
        <v/>
      </c>
    </row>
    <row r="52" spans="2:7" x14ac:dyDescent="0.2">
      <c r="B52" t="str">
        <f t="shared" si="3"/>
        <v/>
      </c>
      <c r="C52" t="str">
        <f t="shared" si="4"/>
        <v/>
      </c>
      <c r="D52" t="str">
        <f t="shared" si="5"/>
        <v/>
      </c>
      <c r="G52" t="str">
        <f t="shared" si="6"/>
        <v/>
      </c>
    </row>
    <row r="53" spans="2:7" x14ac:dyDescent="0.2">
      <c r="B53" t="str">
        <f t="shared" si="3"/>
        <v/>
      </c>
      <c r="C53" t="str">
        <f t="shared" si="4"/>
        <v/>
      </c>
      <c r="D53" t="str">
        <f t="shared" si="5"/>
        <v/>
      </c>
      <c r="G53" t="str">
        <f t="shared" si="6"/>
        <v/>
      </c>
    </row>
    <row r="54" spans="2:7" x14ac:dyDescent="0.2">
      <c r="B54" t="str">
        <f t="shared" si="3"/>
        <v/>
      </c>
      <c r="C54" t="str">
        <f t="shared" si="4"/>
        <v/>
      </c>
      <c r="D54" t="str">
        <f t="shared" si="5"/>
        <v/>
      </c>
      <c r="G54" t="str">
        <f t="shared" si="6"/>
        <v/>
      </c>
    </row>
    <row r="55" spans="2:7" x14ac:dyDescent="0.2">
      <c r="B55" t="str">
        <f t="shared" si="3"/>
        <v/>
      </c>
      <c r="C55" t="str">
        <f t="shared" si="4"/>
        <v/>
      </c>
      <c r="D55" t="str">
        <f t="shared" si="5"/>
        <v/>
      </c>
      <c r="G55" t="str">
        <f t="shared" si="6"/>
        <v/>
      </c>
    </row>
    <row r="56" spans="2:7" x14ac:dyDescent="0.2">
      <c r="B56" t="str">
        <f t="shared" si="3"/>
        <v/>
      </c>
      <c r="C56" t="str">
        <f t="shared" si="4"/>
        <v/>
      </c>
      <c r="D56" t="str">
        <f t="shared" si="5"/>
        <v/>
      </c>
      <c r="G56" t="str">
        <f t="shared" si="6"/>
        <v/>
      </c>
    </row>
    <row r="57" spans="2:7" x14ac:dyDescent="0.2">
      <c r="B57" t="str">
        <f t="shared" si="3"/>
        <v/>
      </c>
      <c r="C57" t="str">
        <f t="shared" si="4"/>
        <v/>
      </c>
      <c r="D57" t="str">
        <f t="shared" si="5"/>
        <v/>
      </c>
      <c r="G57" t="str">
        <f t="shared" si="6"/>
        <v/>
      </c>
    </row>
    <row r="58" spans="2:7" x14ac:dyDescent="0.2">
      <c r="B58" t="str">
        <f t="shared" si="3"/>
        <v/>
      </c>
      <c r="C58" t="str">
        <f t="shared" si="4"/>
        <v/>
      </c>
      <c r="D58" t="str">
        <f t="shared" si="5"/>
        <v/>
      </c>
      <c r="G58" t="str">
        <f t="shared" si="6"/>
        <v/>
      </c>
    </row>
    <row r="59" spans="2:7" x14ac:dyDescent="0.2">
      <c r="B59" t="str">
        <f t="shared" si="3"/>
        <v/>
      </c>
      <c r="C59" t="str">
        <f t="shared" si="4"/>
        <v/>
      </c>
      <c r="D59" t="str">
        <f t="shared" si="5"/>
        <v/>
      </c>
      <c r="G59" t="str">
        <f t="shared" si="6"/>
        <v/>
      </c>
    </row>
    <row r="60" spans="2:7" x14ac:dyDescent="0.2">
      <c r="B60" t="str">
        <f t="shared" si="3"/>
        <v/>
      </c>
      <c r="C60" t="str">
        <f t="shared" si="4"/>
        <v/>
      </c>
      <c r="D60" t="str">
        <f t="shared" si="5"/>
        <v/>
      </c>
      <c r="G60" t="str">
        <f t="shared" si="6"/>
        <v/>
      </c>
    </row>
    <row r="61" spans="2:7" x14ac:dyDescent="0.2">
      <c r="B61" t="str">
        <f t="shared" si="3"/>
        <v/>
      </c>
      <c r="C61" t="str">
        <f t="shared" si="4"/>
        <v/>
      </c>
      <c r="D61" t="str">
        <f t="shared" si="5"/>
        <v/>
      </c>
      <c r="G61" t="str">
        <f t="shared" si="6"/>
        <v/>
      </c>
    </row>
    <row r="62" spans="2:7" x14ac:dyDescent="0.2">
      <c r="B62" t="str">
        <f t="shared" si="3"/>
        <v/>
      </c>
      <c r="C62" t="str">
        <f t="shared" si="4"/>
        <v/>
      </c>
      <c r="D62" t="str">
        <f t="shared" si="5"/>
        <v/>
      </c>
      <c r="G62" t="str">
        <f t="shared" si="6"/>
        <v/>
      </c>
    </row>
    <row r="63" spans="2:7" x14ac:dyDescent="0.2">
      <c r="B63" t="str">
        <f t="shared" si="3"/>
        <v/>
      </c>
      <c r="C63" t="str">
        <f t="shared" si="4"/>
        <v/>
      </c>
      <c r="D63" t="str">
        <f t="shared" si="5"/>
        <v/>
      </c>
      <c r="G63" t="str">
        <f t="shared" si="6"/>
        <v/>
      </c>
    </row>
    <row r="64" spans="2:7" x14ac:dyDescent="0.2">
      <c r="B64" t="str">
        <f t="shared" si="3"/>
        <v/>
      </c>
      <c r="C64" t="str">
        <f t="shared" si="4"/>
        <v/>
      </c>
      <c r="D64" t="str">
        <f t="shared" si="5"/>
        <v/>
      </c>
      <c r="G64" t="str">
        <f t="shared" si="6"/>
        <v/>
      </c>
    </row>
    <row r="65" spans="2:7" x14ac:dyDescent="0.2">
      <c r="B65" t="str">
        <f t="shared" si="3"/>
        <v/>
      </c>
      <c r="C65" t="str">
        <f t="shared" si="4"/>
        <v/>
      </c>
      <c r="D65" t="str">
        <f t="shared" si="5"/>
        <v/>
      </c>
      <c r="G65" t="str">
        <f t="shared" si="6"/>
        <v/>
      </c>
    </row>
    <row r="66" spans="2:7" x14ac:dyDescent="0.2">
      <c r="B66" t="str">
        <f t="shared" si="3"/>
        <v/>
      </c>
      <c r="C66" t="str">
        <f t="shared" si="4"/>
        <v/>
      </c>
      <c r="D66" t="str">
        <f t="shared" si="5"/>
        <v/>
      </c>
      <c r="G66" t="str">
        <f t="shared" si="6"/>
        <v/>
      </c>
    </row>
    <row r="67" spans="2:7" x14ac:dyDescent="0.2">
      <c r="B67" t="str">
        <f t="shared" si="3"/>
        <v/>
      </c>
      <c r="C67" t="str">
        <f t="shared" si="4"/>
        <v/>
      </c>
      <c r="D67" t="str">
        <f t="shared" si="5"/>
        <v/>
      </c>
      <c r="G67" t="str">
        <f t="shared" si="6"/>
        <v/>
      </c>
    </row>
    <row r="68" spans="2:7" x14ac:dyDescent="0.2">
      <c r="B68" t="str">
        <f t="shared" si="3"/>
        <v/>
      </c>
      <c r="C68" t="str">
        <f t="shared" si="4"/>
        <v/>
      </c>
      <c r="D68" t="str">
        <f t="shared" si="5"/>
        <v/>
      </c>
      <c r="G68" t="str">
        <f t="shared" si="6"/>
        <v/>
      </c>
    </row>
    <row r="69" spans="2:7" x14ac:dyDescent="0.2">
      <c r="B69" t="str">
        <f t="shared" si="3"/>
        <v/>
      </c>
      <c r="C69" t="str">
        <f t="shared" si="4"/>
        <v/>
      </c>
      <c r="D69" t="str">
        <f t="shared" si="5"/>
        <v/>
      </c>
      <c r="G69" t="str">
        <f t="shared" si="6"/>
        <v/>
      </c>
    </row>
    <row r="70" spans="2:7" x14ac:dyDescent="0.2">
      <c r="B70" t="str">
        <f t="shared" si="3"/>
        <v/>
      </c>
      <c r="C70" t="str">
        <f t="shared" si="4"/>
        <v/>
      </c>
      <c r="D70" t="str">
        <f t="shared" si="5"/>
        <v/>
      </c>
      <c r="G70" t="str">
        <f t="shared" si="6"/>
        <v/>
      </c>
    </row>
    <row r="71" spans="2:7" x14ac:dyDescent="0.2">
      <c r="B71" t="str">
        <f t="shared" si="3"/>
        <v/>
      </c>
      <c r="C71" t="str">
        <f t="shared" si="4"/>
        <v/>
      </c>
      <c r="D71" t="str">
        <f t="shared" si="5"/>
        <v/>
      </c>
      <c r="G71" t="str">
        <f t="shared" si="6"/>
        <v/>
      </c>
    </row>
    <row r="72" spans="2:7" x14ac:dyDescent="0.2">
      <c r="B72" t="str">
        <f t="shared" si="3"/>
        <v/>
      </c>
      <c r="C72" t="str">
        <f t="shared" si="4"/>
        <v/>
      </c>
      <c r="D72" t="str">
        <f t="shared" si="5"/>
        <v/>
      </c>
      <c r="G72" t="str">
        <f t="shared" si="6"/>
        <v/>
      </c>
    </row>
    <row r="73" spans="2:7" x14ac:dyDescent="0.2">
      <c r="B73" t="str">
        <f t="shared" ref="B73:B136" si="7">IF(J73=0,"",J73)</f>
        <v/>
      </c>
      <c r="C73" t="str">
        <f t="shared" ref="C73:C136" si="8">IF(J73=0,"",K73)</f>
        <v/>
      </c>
      <c r="D73" t="str">
        <f t="shared" ref="D73:D136" si="9">IF(J73=0,"",J73)</f>
        <v/>
      </c>
      <c r="G73" t="str">
        <f t="shared" si="6"/>
        <v/>
      </c>
    </row>
    <row r="74" spans="2:7" x14ac:dyDescent="0.2">
      <c r="B74" t="str">
        <f t="shared" si="7"/>
        <v/>
      </c>
      <c r="C74" t="str">
        <f t="shared" si="8"/>
        <v/>
      </c>
      <c r="D74" t="str">
        <f t="shared" si="9"/>
        <v/>
      </c>
      <c r="G74" t="str">
        <f t="shared" si="6"/>
        <v/>
      </c>
    </row>
    <row r="75" spans="2:7" x14ac:dyDescent="0.2">
      <c r="B75" t="str">
        <f t="shared" si="7"/>
        <v/>
      </c>
      <c r="C75" t="str">
        <f t="shared" si="8"/>
        <v/>
      </c>
      <c r="D75" t="str">
        <f t="shared" si="9"/>
        <v/>
      </c>
      <c r="G75" t="str">
        <f t="shared" si="6"/>
        <v/>
      </c>
    </row>
    <row r="76" spans="2:7" x14ac:dyDescent="0.2">
      <c r="B76" t="str">
        <f t="shared" si="7"/>
        <v/>
      </c>
      <c r="C76" t="str">
        <f t="shared" si="8"/>
        <v/>
      </c>
      <c r="D76" t="str">
        <f t="shared" si="9"/>
        <v/>
      </c>
      <c r="G76" t="str">
        <f t="shared" si="6"/>
        <v/>
      </c>
    </row>
    <row r="77" spans="2:7" x14ac:dyDescent="0.2">
      <c r="B77" t="str">
        <f t="shared" si="7"/>
        <v/>
      </c>
      <c r="C77" t="str">
        <f t="shared" si="8"/>
        <v/>
      </c>
      <c r="D77" t="str">
        <f t="shared" si="9"/>
        <v/>
      </c>
      <c r="G77" t="str">
        <f t="shared" si="6"/>
        <v/>
      </c>
    </row>
    <row r="78" spans="2:7" x14ac:dyDescent="0.2">
      <c r="B78" t="str">
        <f t="shared" si="7"/>
        <v/>
      </c>
      <c r="C78" t="str">
        <f t="shared" si="8"/>
        <v/>
      </c>
      <c r="D78" t="str">
        <f t="shared" si="9"/>
        <v/>
      </c>
      <c r="G78" t="str">
        <f t="shared" ref="G78:G141" si="10">IF(J78=0,"","y")</f>
        <v/>
      </c>
    </row>
    <row r="79" spans="2:7" x14ac:dyDescent="0.2">
      <c r="B79" t="str">
        <f t="shared" si="7"/>
        <v/>
      </c>
      <c r="C79" t="str">
        <f t="shared" si="8"/>
        <v/>
      </c>
      <c r="D79" t="str">
        <f t="shared" si="9"/>
        <v/>
      </c>
      <c r="G79" t="str">
        <f t="shared" si="10"/>
        <v/>
      </c>
    </row>
    <row r="80" spans="2:7" x14ac:dyDescent="0.2">
      <c r="B80" t="str">
        <f t="shared" si="7"/>
        <v/>
      </c>
      <c r="C80" t="str">
        <f t="shared" si="8"/>
        <v/>
      </c>
      <c r="D80" t="str">
        <f t="shared" si="9"/>
        <v/>
      </c>
      <c r="G80" t="str">
        <f t="shared" si="10"/>
        <v/>
      </c>
    </row>
    <row r="81" spans="2:7" x14ac:dyDescent="0.2">
      <c r="B81" t="str">
        <f t="shared" si="7"/>
        <v/>
      </c>
      <c r="C81" t="str">
        <f t="shared" si="8"/>
        <v/>
      </c>
      <c r="D81" t="str">
        <f t="shared" si="9"/>
        <v/>
      </c>
      <c r="G81" t="str">
        <f t="shared" si="10"/>
        <v/>
      </c>
    </row>
    <row r="82" spans="2:7" x14ac:dyDescent="0.2">
      <c r="B82" t="str">
        <f t="shared" si="7"/>
        <v/>
      </c>
      <c r="C82" t="str">
        <f t="shared" si="8"/>
        <v/>
      </c>
      <c r="D82" t="str">
        <f t="shared" si="9"/>
        <v/>
      </c>
      <c r="G82" t="str">
        <f t="shared" si="10"/>
        <v/>
      </c>
    </row>
    <row r="83" spans="2:7" x14ac:dyDescent="0.2">
      <c r="B83" t="str">
        <f t="shared" si="7"/>
        <v/>
      </c>
      <c r="C83" t="str">
        <f t="shared" si="8"/>
        <v/>
      </c>
      <c r="D83" t="str">
        <f t="shared" si="9"/>
        <v/>
      </c>
      <c r="G83" t="str">
        <f t="shared" si="10"/>
        <v/>
      </c>
    </row>
    <row r="84" spans="2:7" x14ac:dyDescent="0.2">
      <c r="B84" t="str">
        <f t="shared" si="7"/>
        <v/>
      </c>
      <c r="C84" t="str">
        <f t="shared" si="8"/>
        <v/>
      </c>
      <c r="D84" t="str">
        <f t="shared" si="9"/>
        <v/>
      </c>
      <c r="G84" t="str">
        <f t="shared" si="10"/>
        <v/>
      </c>
    </row>
    <row r="85" spans="2:7" x14ac:dyDescent="0.2">
      <c r="B85" t="str">
        <f t="shared" si="7"/>
        <v/>
      </c>
      <c r="C85" t="str">
        <f t="shared" si="8"/>
        <v/>
      </c>
      <c r="D85" t="str">
        <f t="shared" si="9"/>
        <v/>
      </c>
      <c r="G85" t="str">
        <f t="shared" si="10"/>
        <v/>
      </c>
    </row>
    <row r="86" spans="2:7" x14ac:dyDescent="0.2">
      <c r="B86" t="str">
        <f t="shared" si="7"/>
        <v/>
      </c>
      <c r="C86" t="str">
        <f t="shared" si="8"/>
        <v/>
      </c>
      <c r="D86" t="str">
        <f t="shared" si="9"/>
        <v/>
      </c>
      <c r="G86" t="str">
        <f t="shared" si="10"/>
        <v/>
      </c>
    </row>
    <row r="87" spans="2:7" x14ac:dyDescent="0.2">
      <c r="B87" t="str">
        <f t="shared" si="7"/>
        <v/>
      </c>
      <c r="C87" t="str">
        <f t="shared" si="8"/>
        <v/>
      </c>
      <c r="D87" t="str">
        <f t="shared" si="9"/>
        <v/>
      </c>
      <c r="G87" t="str">
        <f t="shared" si="10"/>
        <v/>
      </c>
    </row>
    <row r="88" spans="2:7" x14ac:dyDescent="0.2">
      <c r="B88" t="str">
        <f t="shared" si="7"/>
        <v/>
      </c>
      <c r="C88" t="str">
        <f t="shared" si="8"/>
        <v/>
      </c>
      <c r="D88" t="str">
        <f t="shared" si="9"/>
        <v/>
      </c>
      <c r="G88" t="str">
        <f t="shared" si="10"/>
        <v/>
      </c>
    </row>
    <row r="89" spans="2:7" x14ac:dyDescent="0.2">
      <c r="B89" t="str">
        <f t="shared" si="7"/>
        <v/>
      </c>
      <c r="C89" t="str">
        <f t="shared" si="8"/>
        <v/>
      </c>
      <c r="D89" t="str">
        <f t="shared" si="9"/>
        <v/>
      </c>
      <c r="G89" t="str">
        <f t="shared" si="10"/>
        <v/>
      </c>
    </row>
    <row r="90" spans="2:7" x14ac:dyDescent="0.2">
      <c r="B90" t="str">
        <f t="shared" si="7"/>
        <v/>
      </c>
      <c r="C90" t="str">
        <f t="shared" si="8"/>
        <v/>
      </c>
      <c r="D90" t="str">
        <f t="shared" si="9"/>
        <v/>
      </c>
      <c r="G90" t="str">
        <f t="shared" si="10"/>
        <v/>
      </c>
    </row>
    <row r="91" spans="2:7" x14ac:dyDescent="0.2">
      <c r="B91" t="str">
        <f t="shared" si="7"/>
        <v/>
      </c>
      <c r="C91" t="str">
        <f t="shared" si="8"/>
        <v/>
      </c>
      <c r="D91" t="str">
        <f t="shared" si="9"/>
        <v/>
      </c>
      <c r="G91" t="str">
        <f t="shared" si="10"/>
        <v/>
      </c>
    </row>
    <row r="92" spans="2:7" x14ac:dyDescent="0.2">
      <c r="B92" t="str">
        <f t="shared" si="7"/>
        <v/>
      </c>
      <c r="C92" t="str">
        <f t="shared" si="8"/>
        <v/>
      </c>
      <c r="D92" t="str">
        <f t="shared" si="9"/>
        <v/>
      </c>
      <c r="G92" t="str">
        <f t="shared" si="10"/>
        <v/>
      </c>
    </row>
    <row r="93" spans="2:7" x14ac:dyDescent="0.2">
      <c r="B93" t="str">
        <f t="shared" si="7"/>
        <v/>
      </c>
      <c r="C93" t="str">
        <f t="shared" si="8"/>
        <v/>
      </c>
      <c r="D93" t="str">
        <f t="shared" si="9"/>
        <v/>
      </c>
      <c r="G93" t="str">
        <f t="shared" si="10"/>
        <v/>
      </c>
    </row>
    <row r="94" spans="2:7" x14ac:dyDescent="0.2">
      <c r="B94" t="str">
        <f t="shared" si="7"/>
        <v/>
      </c>
      <c r="C94" t="str">
        <f t="shared" si="8"/>
        <v/>
      </c>
      <c r="D94" t="str">
        <f t="shared" si="9"/>
        <v/>
      </c>
      <c r="G94" t="str">
        <f t="shared" si="10"/>
        <v/>
      </c>
    </row>
    <row r="95" spans="2:7" x14ac:dyDescent="0.2">
      <c r="B95" t="str">
        <f t="shared" si="7"/>
        <v/>
      </c>
      <c r="C95" t="str">
        <f t="shared" si="8"/>
        <v/>
      </c>
      <c r="D95" t="str">
        <f t="shared" si="9"/>
        <v/>
      </c>
      <c r="G95" t="str">
        <f t="shared" si="10"/>
        <v/>
      </c>
    </row>
    <row r="96" spans="2:7" x14ac:dyDescent="0.2">
      <c r="B96" t="str">
        <f t="shared" si="7"/>
        <v/>
      </c>
      <c r="C96" t="str">
        <f t="shared" si="8"/>
        <v/>
      </c>
      <c r="D96" t="str">
        <f t="shared" si="9"/>
        <v/>
      </c>
      <c r="G96" t="str">
        <f t="shared" si="10"/>
        <v/>
      </c>
    </row>
    <row r="97" spans="2:7" x14ac:dyDescent="0.2">
      <c r="B97" t="str">
        <f t="shared" si="7"/>
        <v/>
      </c>
      <c r="C97" t="str">
        <f t="shared" si="8"/>
        <v/>
      </c>
      <c r="D97" t="str">
        <f t="shared" si="9"/>
        <v/>
      </c>
      <c r="G97" t="str">
        <f t="shared" si="10"/>
        <v/>
      </c>
    </row>
    <row r="98" spans="2:7" x14ac:dyDescent="0.2">
      <c r="B98" t="str">
        <f t="shared" si="7"/>
        <v/>
      </c>
      <c r="C98" t="str">
        <f t="shared" si="8"/>
        <v/>
      </c>
      <c r="D98" t="str">
        <f t="shared" si="9"/>
        <v/>
      </c>
      <c r="G98" t="str">
        <f t="shared" si="10"/>
        <v/>
      </c>
    </row>
    <row r="99" spans="2:7" x14ac:dyDescent="0.2">
      <c r="B99" t="str">
        <f t="shared" si="7"/>
        <v/>
      </c>
      <c r="C99" t="str">
        <f t="shared" si="8"/>
        <v/>
      </c>
      <c r="D99" t="str">
        <f t="shared" si="9"/>
        <v/>
      </c>
      <c r="G99" t="str">
        <f t="shared" si="10"/>
        <v/>
      </c>
    </row>
    <row r="100" spans="2:7" x14ac:dyDescent="0.2">
      <c r="B100" t="str">
        <f t="shared" si="7"/>
        <v/>
      </c>
      <c r="C100" t="str">
        <f t="shared" si="8"/>
        <v/>
      </c>
      <c r="D100" t="str">
        <f t="shared" si="9"/>
        <v/>
      </c>
      <c r="G100" t="str">
        <f t="shared" si="10"/>
        <v/>
      </c>
    </row>
    <row r="101" spans="2:7" x14ac:dyDescent="0.2">
      <c r="B101" t="str">
        <f t="shared" si="7"/>
        <v/>
      </c>
      <c r="C101" t="str">
        <f t="shared" si="8"/>
        <v/>
      </c>
      <c r="D101" t="str">
        <f t="shared" si="9"/>
        <v/>
      </c>
      <c r="G101" t="str">
        <f t="shared" si="10"/>
        <v/>
      </c>
    </row>
    <row r="102" spans="2:7" x14ac:dyDescent="0.2">
      <c r="B102" t="str">
        <f t="shared" si="7"/>
        <v/>
      </c>
      <c r="C102" t="str">
        <f t="shared" si="8"/>
        <v/>
      </c>
      <c r="D102" t="str">
        <f t="shared" si="9"/>
        <v/>
      </c>
      <c r="G102" t="str">
        <f t="shared" si="10"/>
        <v/>
      </c>
    </row>
    <row r="103" spans="2:7" x14ac:dyDescent="0.2">
      <c r="B103" t="str">
        <f t="shared" si="7"/>
        <v/>
      </c>
      <c r="C103" t="str">
        <f t="shared" si="8"/>
        <v/>
      </c>
      <c r="D103" t="str">
        <f t="shared" si="9"/>
        <v/>
      </c>
      <c r="G103" t="str">
        <f t="shared" si="10"/>
        <v/>
      </c>
    </row>
    <row r="104" spans="2:7" x14ac:dyDescent="0.2">
      <c r="B104" t="str">
        <f t="shared" si="7"/>
        <v/>
      </c>
      <c r="C104" t="str">
        <f t="shared" si="8"/>
        <v/>
      </c>
      <c r="D104" t="str">
        <f t="shared" si="9"/>
        <v/>
      </c>
      <c r="G104" t="str">
        <f t="shared" si="10"/>
        <v/>
      </c>
    </row>
    <row r="105" spans="2:7" x14ac:dyDescent="0.2">
      <c r="B105" t="str">
        <f t="shared" si="7"/>
        <v/>
      </c>
      <c r="C105" t="str">
        <f t="shared" si="8"/>
        <v/>
      </c>
      <c r="D105" t="str">
        <f t="shared" si="9"/>
        <v/>
      </c>
      <c r="G105" t="str">
        <f t="shared" si="10"/>
        <v/>
      </c>
    </row>
    <row r="106" spans="2:7" x14ac:dyDescent="0.2">
      <c r="B106" t="str">
        <f t="shared" si="7"/>
        <v/>
      </c>
      <c r="C106" t="str">
        <f t="shared" si="8"/>
        <v/>
      </c>
      <c r="D106" t="str">
        <f t="shared" si="9"/>
        <v/>
      </c>
      <c r="G106" t="str">
        <f t="shared" si="10"/>
        <v/>
      </c>
    </row>
    <row r="107" spans="2:7" x14ac:dyDescent="0.2">
      <c r="B107" t="str">
        <f t="shared" si="7"/>
        <v/>
      </c>
      <c r="C107" t="str">
        <f t="shared" si="8"/>
        <v/>
      </c>
      <c r="D107" t="str">
        <f t="shared" si="9"/>
        <v/>
      </c>
      <c r="G107" t="str">
        <f t="shared" si="10"/>
        <v/>
      </c>
    </row>
    <row r="108" spans="2:7" x14ac:dyDescent="0.2">
      <c r="B108" t="str">
        <f t="shared" si="7"/>
        <v/>
      </c>
      <c r="C108" t="str">
        <f t="shared" si="8"/>
        <v/>
      </c>
      <c r="D108" t="str">
        <f t="shared" si="9"/>
        <v/>
      </c>
      <c r="G108" t="str">
        <f t="shared" si="10"/>
        <v/>
      </c>
    </row>
    <row r="109" spans="2:7" x14ac:dyDescent="0.2">
      <c r="B109" t="str">
        <f t="shared" si="7"/>
        <v/>
      </c>
      <c r="C109" t="str">
        <f t="shared" si="8"/>
        <v/>
      </c>
      <c r="D109" t="str">
        <f t="shared" si="9"/>
        <v/>
      </c>
      <c r="G109" t="str">
        <f t="shared" si="10"/>
        <v/>
      </c>
    </row>
    <row r="110" spans="2:7" x14ac:dyDescent="0.2">
      <c r="B110" t="str">
        <f t="shared" si="7"/>
        <v/>
      </c>
      <c r="C110" t="str">
        <f t="shared" si="8"/>
        <v/>
      </c>
      <c r="D110" t="str">
        <f t="shared" si="9"/>
        <v/>
      </c>
      <c r="G110" t="str">
        <f t="shared" si="10"/>
        <v/>
      </c>
    </row>
    <row r="111" spans="2:7" x14ac:dyDescent="0.2">
      <c r="B111" t="str">
        <f t="shared" si="7"/>
        <v/>
      </c>
      <c r="C111" t="str">
        <f t="shared" si="8"/>
        <v/>
      </c>
      <c r="D111" t="str">
        <f t="shared" si="9"/>
        <v/>
      </c>
      <c r="G111" t="str">
        <f t="shared" si="10"/>
        <v/>
      </c>
    </row>
    <row r="112" spans="2:7" x14ac:dyDescent="0.2">
      <c r="B112" t="str">
        <f t="shared" si="7"/>
        <v/>
      </c>
      <c r="C112" t="str">
        <f t="shared" si="8"/>
        <v/>
      </c>
      <c r="D112" t="str">
        <f t="shared" si="9"/>
        <v/>
      </c>
      <c r="G112" t="str">
        <f t="shared" si="10"/>
        <v/>
      </c>
    </row>
    <row r="113" spans="2:7" x14ac:dyDescent="0.2">
      <c r="B113" t="str">
        <f t="shared" si="7"/>
        <v/>
      </c>
      <c r="C113" t="str">
        <f t="shared" si="8"/>
        <v/>
      </c>
      <c r="D113" t="str">
        <f t="shared" si="9"/>
        <v/>
      </c>
      <c r="G113" t="str">
        <f t="shared" si="10"/>
        <v/>
      </c>
    </row>
    <row r="114" spans="2:7" x14ac:dyDescent="0.2">
      <c r="B114" t="str">
        <f t="shared" si="7"/>
        <v/>
      </c>
      <c r="C114" t="str">
        <f t="shared" si="8"/>
        <v/>
      </c>
      <c r="D114" t="str">
        <f t="shared" si="9"/>
        <v/>
      </c>
      <c r="G114" t="str">
        <f t="shared" si="10"/>
        <v/>
      </c>
    </row>
    <row r="115" spans="2:7" x14ac:dyDescent="0.2">
      <c r="B115" t="str">
        <f t="shared" si="7"/>
        <v/>
      </c>
      <c r="C115" t="str">
        <f t="shared" si="8"/>
        <v/>
      </c>
      <c r="D115" t="str">
        <f t="shared" si="9"/>
        <v/>
      </c>
      <c r="G115" t="str">
        <f t="shared" si="10"/>
        <v/>
      </c>
    </row>
    <row r="116" spans="2:7" x14ac:dyDescent="0.2">
      <c r="B116" t="str">
        <f t="shared" si="7"/>
        <v/>
      </c>
      <c r="C116" t="str">
        <f t="shared" si="8"/>
        <v/>
      </c>
      <c r="D116" t="str">
        <f t="shared" si="9"/>
        <v/>
      </c>
      <c r="G116" t="str">
        <f t="shared" si="10"/>
        <v/>
      </c>
    </row>
    <row r="117" spans="2:7" x14ac:dyDescent="0.2">
      <c r="B117" t="str">
        <f t="shared" si="7"/>
        <v/>
      </c>
      <c r="C117" t="str">
        <f t="shared" si="8"/>
        <v/>
      </c>
      <c r="D117" t="str">
        <f t="shared" si="9"/>
        <v/>
      </c>
      <c r="G117" t="str">
        <f t="shared" si="10"/>
        <v/>
      </c>
    </row>
    <row r="118" spans="2:7" x14ac:dyDescent="0.2">
      <c r="B118" t="str">
        <f t="shared" si="7"/>
        <v/>
      </c>
      <c r="C118" t="str">
        <f t="shared" si="8"/>
        <v/>
      </c>
      <c r="D118" t="str">
        <f t="shared" si="9"/>
        <v/>
      </c>
      <c r="G118" t="str">
        <f t="shared" si="10"/>
        <v/>
      </c>
    </row>
    <row r="119" spans="2:7" x14ac:dyDescent="0.2">
      <c r="B119" t="str">
        <f t="shared" si="7"/>
        <v/>
      </c>
      <c r="C119" t="str">
        <f t="shared" si="8"/>
        <v/>
      </c>
      <c r="D119" t="str">
        <f t="shared" si="9"/>
        <v/>
      </c>
      <c r="G119" t="str">
        <f t="shared" si="10"/>
        <v/>
      </c>
    </row>
    <row r="120" spans="2:7" x14ac:dyDescent="0.2">
      <c r="B120" t="str">
        <f t="shared" si="7"/>
        <v/>
      </c>
      <c r="C120" t="str">
        <f t="shared" si="8"/>
        <v/>
      </c>
      <c r="D120" t="str">
        <f t="shared" si="9"/>
        <v/>
      </c>
      <c r="G120" t="str">
        <f t="shared" si="10"/>
        <v/>
      </c>
    </row>
    <row r="121" spans="2:7" x14ac:dyDescent="0.2">
      <c r="B121" t="str">
        <f t="shared" si="7"/>
        <v/>
      </c>
      <c r="C121" t="str">
        <f t="shared" si="8"/>
        <v/>
      </c>
      <c r="D121" t="str">
        <f t="shared" si="9"/>
        <v/>
      </c>
      <c r="G121" t="str">
        <f t="shared" si="10"/>
        <v/>
      </c>
    </row>
    <row r="122" spans="2:7" x14ac:dyDescent="0.2">
      <c r="B122" t="str">
        <f t="shared" si="7"/>
        <v/>
      </c>
      <c r="C122" t="str">
        <f t="shared" si="8"/>
        <v/>
      </c>
      <c r="D122" t="str">
        <f t="shared" si="9"/>
        <v/>
      </c>
      <c r="G122" t="str">
        <f t="shared" si="10"/>
        <v/>
      </c>
    </row>
    <row r="123" spans="2:7" x14ac:dyDescent="0.2">
      <c r="B123" t="str">
        <f t="shared" si="7"/>
        <v/>
      </c>
      <c r="C123" t="str">
        <f t="shared" si="8"/>
        <v/>
      </c>
      <c r="D123" t="str">
        <f t="shared" si="9"/>
        <v/>
      </c>
      <c r="G123" t="str">
        <f t="shared" si="10"/>
        <v/>
      </c>
    </row>
    <row r="124" spans="2:7" x14ac:dyDescent="0.2">
      <c r="B124" t="str">
        <f t="shared" si="7"/>
        <v/>
      </c>
      <c r="C124" t="str">
        <f t="shared" si="8"/>
        <v/>
      </c>
      <c r="D124" t="str">
        <f t="shared" si="9"/>
        <v/>
      </c>
      <c r="G124" t="str">
        <f t="shared" si="10"/>
        <v/>
      </c>
    </row>
    <row r="125" spans="2:7" x14ac:dyDescent="0.2">
      <c r="B125" t="str">
        <f t="shared" si="7"/>
        <v/>
      </c>
      <c r="C125" t="str">
        <f t="shared" si="8"/>
        <v/>
      </c>
      <c r="D125" t="str">
        <f t="shared" si="9"/>
        <v/>
      </c>
      <c r="G125" t="str">
        <f t="shared" si="10"/>
        <v/>
      </c>
    </row>
    <row r="126" spans="2:7" x14ac:dyDescent="0.2">
      <c r="B126" t="str">
        <f t="shared" si="7"/>
        <v/>
      </c>
      <c r="C126" t="str">
        <f t="shared" si="8"/>
        <v/>
      </c>
      <c r="D126" t="str">
        <f t="shared" si="9"/>
        <v/>
      </c>
      <c r="G126" t="str">
        <f t="shared" si="10"/>
        <v/>
      </c>
    </row>
    <row r="127" spans="2:7" x14ac:dyDescent="0.2">
      <c r="B127" t="str">
        <f t="shared" si="7"/>
        <v/>
      </c>
      <c r="C127" t="str">
        <f t="shared" si="8"/>
        <v/>
      </c>
      <c r="D127" t="str">
        <f t="shared" si="9"/>
        <v/>
      </c>
      <c r="G127" t="str">
        <f t="shared" si="10"/>
        <v/>
      </c>
    </row>
    <row r="128" spans="2:7" x14ac:dyDescent="0.2">
      <c r="B128" t="str">
        <f t="shared" si="7"/>
        <v/>
      </c>
      <c r="C128" t="str">
        <f t="shared" si="8"/>
        <v/>
      </c>
      <c r="D128" t="str">
        <f t="shared" si="9"/>
        <v/>
      </c>
      <c r="G128" t="str">
        <f t="shared" si="10"/>
        <v/>
      </c>
    </row>
    <row r="129" spans="2:7" x14ac:dyDescent="0.2">
      <c r="B129" t="str">
        <f t="shared" si="7"/>
        <v/>
      </c>
      <c r="C129" t="str">
        <f t="shared" si="8"/>
        <v/>
      </c>
      <c r="D129" t="str">
        <f t="shared" si="9"/>
        <v/>
      </c>
      <c r="G129" t="str">
        <f t="shared" si="10"/>
        <v/>
      </c>
    </row>
    <row r="130" spans="2:7" x14ac:dyDescent="0.2">
      <c r="B130" t="str">
        <f t="shared" si="7"/>
        <v/>
      </c>
      <c r="C130" t="str">
        <f t="shared" si="8"/>
        <v/>
      </c>
      <c r="D130" t="str">
        <f t="shared" si="9"/>
        <v/>
      </c>
      <c r="G130" t="str">
        <f t="shared" si="10"/>
        <v/>
      </c>
    </row>
    <row r="131" spans="2:7" x14ac:dyDescent="0.2">
      <c r="B131" t="str">
        <f t="shared" si="7"/>
        <v/>
      </c>
      <c r="C131" t="str">
        <f t="shared" si="8"/>
        <v/>
      </c>
      <c r="D131" t="str">
        <f t="shared" si="9"/>
        <v/>
      </c>
      <c r="G131" t="str">
        <f t="shared" si="10"/>
        <v/>
      </c>
    </row>
    <row r="132" spans="2:7" x14ac:dyDescent="0.2">
      <c r="B132" t="str">
        <f t="shared" si="7"/>
        <v/>
      </c>
      <c r="C132" t="str">
        <f t="shared" si="8"/>
        <v/>
      </c>
      <c r="D132" t="str">
        <f t="shared" si="9"/>
        <v/>
      </c>
      <c r="G132" t="str">
        <f t="shared" si="10"/>
        <v/>
      </c>
    </row>
    <row r="133" spans="2:7" x14ac:dyDescent="0.2">
      <c r="B133" t="str">
        <f t="shared" si="7"/>
        <v/>
      </c>
      <c r="C133" t="str">
        <f t="shared" si="8"/>
        <v/>
      </c>
      <c r="D133" t="str">
        <f t="shared" si="9"/>
        <v/>
      </c>
      <c r="G133" t="str">
        <f t="shared" si="10"/>
        <v/>
      </c>
    </row>
    <row r="134" spans="2:7" x14ac:dyDescent="0.2">
      <c r="B134" t="str">
        <f t="shared" si="7"/>
        <v/>
      </c>
      <c r="C134" t="str">
        <f t="shared" si="8"/>
        <v/>
      </c>
      <c r="D134" t="str">
        <f t="shared" si="9"/>
        <v/>
      </c>
      <c r="G134" t="str">
        <f t="shared" si="10"/>
        <v/>
      </c>
    </row>
    <row r="135" spans="2:7" x14ac:dyDescent="0.2">
      <c r="B135" t="str">
        <f t="shared" si="7"/>
        <v/>
      </c>
      <c r="C135" t="str">
        <f t="shared" si="8"/>
        <v/>
      </c>
      <c r="D135" t="str">
        <f t="shared" si="9"/>
        <v/>
      </c>
      <c r="G135" t="str">
        <f t="shared" si="10"/>
        <v/>
      </c>
    </row>
    <row r="136" spans="2:7" x14ac:dyDescent="0.2">
      <c r="B136" t="str">
        <f t="shared" si="7"/>
        <v/>
      </c>
      <c r="C136" t="str">
        <f t="shared" si="8"/>
        <v/>
      </c>
      <c r="D136" t="str">
        <f t="shared" si="9"/>
        <v/>
      </c>
      <c r="G136" t="str">
        <f t="shared" si="10"/>
        <v/>
      </c>
    </row>
    <row r="137" spans="2:7" x14ac:dyDescent="0.2">
      <c r="B137" t="str">
        <f t="shared" ref="B137:B198" si="11">IF(J137=0,"",J137)</f>
        <v/>
      </c>
      <c r="C137" t="str">
        <f t="shared" ref="C137:C199" si="12">IF(J137=0,"",K137)</f>
        <v/>
      </c>
      <c r="D137" t="str">
        <f t="shared" ref="D137:D199" si="13">IF(J137=0,"",J137)</f>
        <v/>
      </c>
      <c r="G137" t="str">
        <f t="shared" si="10"/>
        <v/>
      </c>
    </row>
    <row r="138" spans="2:7" x14ac:dyDescent="0.2">
      <c r="B138" t="str">
        <f t="shared" si="11"/>
        <v/>
      </c>
      <c r="C138" t="str">
        <f t="shared" si="12"/>
        <v/>
      </c>
      <c r="D138" t="str">
        <f t="shared" si="13"/>
        <v/>
      </c>
      <c r="G138" t="str">
        <f t="shared" si="10"/>
        <v/>
      </c>
    </row>
    <row r="139" spans="2:7" x14ac:dyDescent="0.2">
      <c r="B139" t="str">
        <f t="shared" si="11"/>
        <v/>
      </c>
      <c r="C139" t="str">
        <f t="shared" si="12"/>
        <v/>
      </c>
      <c r="D139" t="str">
        <f t="shared" si="13"/>
        <v/>
      </c>
      <c r="G139" t="str">
        <f t="shared" si="10"/>
        <v/>
      </c>
    </row>
    <row r="140" spans="2:7" x14ac:dyDescent="0.2">
      <c r="B140" t="str">
        <f t="shared" si="11"/>
        <v/>
      </c>
      <c r="C140" t="str">
        <f t="shared" si="12"/>
        <v/>
      </c>
      <c r="D140" t="str">
        <f t="shared" si="13"/>
        <v/>
      </c>
      <c r="G140" t="str">
        <f t="shared" si="10"/>
        <v/>
      </c>
    </row>
    <row r="141" spans="2:7" x14ac:dyDescent="0.2">
      <c r="B141" t="str">
        <f t="shared" si="11"/>
        <v/>
      </c>
      <c r="C141" t="str">
        <f t="shared" si="12"/>
        <v/>
      </c>
      <c r="D141" t="str">
        <f t="shared" si="13"/>
        <v/>
      </c>
      <c r="G141" t="str">
        <f t="shared" si="10"/>
        <v/>
      </c>
    </row>
    <row r="142" spans="2:7" x14ac:dyDescent="0.2">
      <c r="B142" t="str">
        <f t="shared" si="11"/>
        <v/>
      </c>
      <c r="C142" t="str">
        <f t="shared" si="12"/>
        <v/>
      </c>
      <c r="D142" t="str">
        <f t="shared" si="13"/>
        <v/>
      </c>
      <c r="G142" t="str">
        <f t="shared" ref="G142:G198" si="14">IF(J142=0,"","y")</f>
        <v/>
      </c>
    </row>
    <row r="143" spans="2:7" x14ac:dyDescent="0.2">
      <c r="B143" t="str">
        <f t="shared" si="11"/>
        <v/>
      </c>
      <c r="C143" t="str">
        <f t="shared" si="12"/>
        <v/>
      </c>
      <c r="D143" t="str">
        <f t="shared" si="13"/>
        <v/>
      </c>
      <c r="G143" t="str">
        <f t="shared" si="14"/>
        <v/>
      </c>
    </row>
    <row r="144" spans="2:7" x14ac:dyDescent="0.2">
      <c r="B144" t="str">
        <f t="shared" si="11"/>
        <v/>
      </c>
      <c r="C144" t="str">
        <f t="shared" si="12"/>
        <v/>
      </c>
      <c r="D144" t="str">
        <f t="shared" si="13"/>
        <v/>
      </c>
      <c r="G144" t="str">
        <f t="shared" si="14"/>
        <v/>
      </c>
    </row>
    <row r="145" spans="2:7" x14ac:dyDescent="0.2">
      <c r="B145" t="str">
        <f t="shared" si="11"/>
        <v/>
      </c>
      <c r="C145" t="str">
        <f t="shared" si="12"/>
        <v/>
      </c>
      <c r="D145" t="str">
        <f t="shared" si="13"/>
        <v/>
      </c>
      <c r="G145" t="str">
        <f t="shared" si="14"/>
        <v/>
      </c>
    </row>
    <row r="146" spans="2:7" x14ac:dyDescent="0.2">
      <c r="B146" t="str">
        <f t="shared" si="11"/>
        <v/>
      </c>
      <c r="C146" t="str">
        <f t="shared" si="12"/>
        <v/>
      </c>
      <c r="D146" t="str">
        <f t="shared" si="13"/>
        <v/>
      </c>
      <c r="G146" t="str">
        <f t="shared" si="14"/>
        <v/>
      </c>
    </row>
    <row r="147" spans="2:7" x14ac:dyDescent="0.2">
      <c r="B147" t="str">
        <f t="shared" si="11"/>
        <v/>
      </c>
      <c r="C147" t="str">
        <f t="shared" si="12"/>
        <v/>
      </c>
      <c r="D147" t="str">
        <f t="shared" si="13"/>
        <v/>
      </c>
      <c r="G147" t="str">
        <f t="shared" si="14"/>
        <v/>
      </c>
    </row>
    <row r="148" spans="2:7" x14ac:dyDescent="0.2">
      <c r="B148" t="str">
        <f t="shared" si="11"/>
        <v/>
      </c>
      <c r="C148" t="str">
        <f t="shared" si="12"/>
        <v/>
      </c>
      <c r="D148" t="str">
        <f t="shared" si="13"/>
        <v/>
      </c>
      <c r="G148" t="str">
        <f t="shared" si="14"/>
        <v/>
      </c>
    </row>
    <row r="149" spans="2:7" x14ac:dyDescent="0.2">
      <c r="B149" t="str">
        <f t="shared" si="11"/>
        <v/>
      </c>
      <c r="C149" t="str">
        <f t="shared" si="12"/>
        <v/>
      </c>
      <c r="D149" t="str">
        <f t="shared" si="13"/>
        <v/>
      </c>
      <c r="G149" t="str">
        <f t="shared" si="14"/>
        <v/>
      </c>
    </row>
    <row r="150" spans="2:7" x14ac:dyDescent="0.2">
      <c r="B150" t="str">
        <f t="shared" si="11"/>
        <v/>
      </c>
      <c r="C150" t="str">
        <f t="shared" si="12"/>
        <v/>
      </c>
      <c r="D150" t="str">
        <f t="shared" si="13"/>
        <v/>
      </c>
      <c r="G150" t="str">
        <f t="shared" si="14"/>
        <v/>
      </c>
    </row>
    <row r="151" spans="2:7" x14ac:dyDescent="0.2">
      <c r="B151" t="str">
        <f t="shared" si="11"/>
        <v/>
      </c>
      <c r="C151" t="str">
        <f t="shared" si="12"/>
        <v/>
      </c>
      <c r="D151" t="str">
        <f t="shared" si="13"/>
        <v/>
      </c>
      <c r="G151" t="str">
        <f t="shared" si="14"/>
        <v/>
      </c>
    </row>
    <row r="152" spans="2:7" x14ac:dyDescent="0.2">
      <c r="B152" t="str">
        <f t="shared" si="11"/>
        <v/>
      </c>
      <c r="C152" t="str">
        <f t="shared" si="12"/>
        <v/>
      </c>
      <c r="D152" t="str">
        <f t="shared" si="13"/>
        <v/>
      </c>
      <c r="G152" t="str">
        <f t="shared" si="14"/>
        <v/>
      </c>
    </row>
    <row r="153" spans="2:7" x14ac:dyDescent="0.2">
      <c r="B153" t="str">
        <f t="shared" si="11"/>
        <v/>
      </c>
      <c r="C153" t="str">
        <f t="shared" si="12"/>
        <v/>
      </c>
      <c r="D153" t="str">
        <f t="shared" si="13"/>
        <v/>
      </c>
      <c r="G153" t="str">
        <f t="shared" si="14"/>
        <v/>
      </c>
    </row>
    <row r="154" spans="2:7" x14ac:dyDescent="0.2">
      <c r="B154" t="str">
        <f t="shared" si="11"/>
        <v/>
      </c>
      <c r="C154" t="str">
        <f t="shared" si="12"/>
        <v/>
      </c>
      <c r="D154" t="str">
        <f t="shared" si="13"/>
        <v/>
      </c>
      <c r="G154" t="str">
        <f t="shared" si="14"/>
        <v/>
      </c>
    </row>
    <row r="155" spans="2:7" x14ac:dyDescent="0.2">
      <c r="B155" t="str">
        <f t="shared" si="11"/>
        <v/>
      </c>
      <c r="C155" t="str">
        <f t="shared" si="12"/>
        <v/>
      </c>
      <c r="D155" t="str">
        <f t="shared" si="13"/>
        <v/>
      </c>
      <c r="G155" t="str">
        <f t="shared" si="14"/>
        <v/>
      </c>
    </row>
    <row r="156" spans="2:7" x14ac:dyDescent="0.2">
      <c r="B156" t="str">
        <f t="shared" si="11"/>
        <v/>
      </c>
      <c r="C156" t="str">
        <f t="shared" si="12"/>
        <v/>
      </c>
      <c r="D156" t="str">
        <f t="shared" si="13"/>
        <v/>
      </c>
      <c r="G156" t="str">
        <f t="shared" si="14"/>
        <v/>
      </c>
    </row>
    <row r="157" spans="2:7" x14ac:dyDescent="0.2">
      <c r="B157" t="str">
        <f t="shared" si="11"/>
        <v/>
      </c>
      <c r="C157" t="str">
        <f t="shared" si="12"/>
        <v/>
      </c>
      <c r="D157" t="str">
        <f t="shared" si="13"/>
        <v/>
      </c>
      <c r="G157" t="str">
        <f t="shared" si="14"/>
        <v/>
      </c>
    </row>
    <row r="158" spans="2:7" x14ac:dyDescent="0.2">
      <c r="B158" t="str">
        <f t="shared" si="11"/>
        <v/>
      </c>
      <c r="C158" t="str">
        <f t="shared" si="12"/>
        <v/>
      </c>
      <c r="D158" t="str">
        <f t="shared" si="13"/>
        <v/>
      </c>
      <c r="G158" t="str">
        <f t="shared" si="14"/>
        <v/>
      </c>
    </row>
    <row r="159" spans="2:7" x14ac:dyDescent="0.2">
      <c r="B159" t="str">
        <f t="shared" si="11"/>
        <v/>
      </c>
      <c r="C159" t="str">
        <f t="shared" si="12"/>
        <v/>
      </c>
      <c r="D159" t="str">
        <f t="shared" si="13"/>
        <v/>
      </c>
      <c r="G159" t="str">
        <f t="shared" si="14"/>
        <v/>
      </c>
    </row>
    <row r="160" spans="2:7" x14ac:dyDescent="0.2">
      <c r="B160" t="str">
        <f t="shared" si="11"/>
        <v/>
      </c>
      <c r="C160" t="str">
        <f t="shared" si="12"/>
        <v/>
      </c>
      <c r="D160" t="str">
        <f t="shared" si="13"/>
        <v/>
      </c>
      <c r="G160" t="str">
        <f t="shared" si="14"/>
        <v/>
      </c>
    </row>
    <row r="161" spans="2:7" x14ac:dyDescent="0.2">
      <c r="B161" t="str">
        <f t="shared" si="11"/>
        <v/>
      </c>
      <c r="C161" t="str">
        <f t="shared" si="12"/>
        <v/>
      </c>
      <c r="D161" t="str">
        <f t="shared" si="13"/>
        <v/>
      </c>
      <c r="G161" t="str">
        <f t="shared" si="14"/>
        <v/>
      </c>
    </row>
    <row r="162" spans="2:7" x14ac:dyDescent="0.2">
      <c r="B162" t="str">
        <f t="shared" si="11"/>
        <v/>
      </c>
      <c r="C162" t="str">
        <f t="shared" si="12"/>
        <v/>
      </c>
      <c r="D162" t="str">
        <f t="shared" si="13"/>
        <v/>
      </c>
      <c r="G162" t="str">
        <f t="shared" si="14"/>
        <v/>
      </c>
    </row>
    <row r="163" spans="2:7" x14ac:dyDescent="0.2">
      <c r="B163" t="str">
        <f t="shared" si="11"/>
        <v/>
      </c>
      <c r="C163" t="str">
        <f t="shared" si="12"/>
        <v/>
      </c>
      <c r="D163" t="str">
        <f t="shared" si="13"/>
        <v/>
      </c>
      <c r="G163" t="str">
        <f t="shared" si="14"/>
        <v/>
      </c>
    </row>
    <row r="164" spans="2:7" x14ac:dyDescent="0.2">
      <c r="B164" t="str">
        <f t="shared" si="11"/>
        <v/>
      </c>
      <c r="C164" t="str">
        <f t="shared" si="12"/>
        <v/>
      </c>
      <c r="D164" t="str">
        <f t="shared" si="13"/>
        <v/>
      </c>
      <c r="G164" t="str">
        <f t="shared" si="14"/>
        <v/>
      </c>
    </row>
    <row r="165" spans="2:7" x14ac:dyDescent="0.2">
      <c r="B165" t="str">
        <f t="shared" si="11"/>
        <v/>
      </c>
      <c r="C165" t="str">
        <f t="shared" si="12"/>
        <v/>
      </c>
      <c r="D165" t="str">
        <f t="shared" si="13"/>
        <v/>
      </c>
      <c r="G165" t="str">
        <f t="shared" si="14"/>
        <v/>
      </c>
    </row>
    <row r="166" spans="2:7" x14ac:dyDescent="0.2">
      <c r="B166" t="str">
        <f t="shared" si="11"/>
        <v/>
      </c>
      <c r="C166" t="str">
        <f t="shared" si="12"/>
        <v/>
      </c>
      <c r="D166" t="str">
        <f t="shared" si="13"/>
        <v/>
      </c>
      <c r="G166" t="str">
        <f t="shared" si="14"/>
        <v/>
      </c>
    </row>
    <row r="167" spans="2:7" x14ac:dyDescent="0.2">
      <c r="B167" t="str">
        <f t="shared" si="11"/>
        <v/>
      </c>
      <c r="C167" t="str">
        <f t="shared" si="12"/>
        <v/>
      </c>
      <c r="D167" t="str">
        <f t="shared" si="13"/>
        <v/>
      </c>
      <c r="G167" t="str">
        <f t="shared" si="14"/>
        <v/>
      </c>
    </row>
    <row r="168" spans="2:7" x14ac:dyDescent="0.2">
      <c r="B168" t="str">
        <f t="shared" si="11"/>
        <v/>
      </c>
      <c r="C168" t="str">
        <f t="shared" si="12"/>
        <v/>
      </c>
      <c r="D168" t="str">
        <f t="shared" si="13"/>
        <v/>
      </c>
      <c r="G168" t="str">
        <f t="shared" si="14"/>
        <v/>
      </c>
    </row>
    <row r="169" spans="2:7" x14ac:dyDescent="0.2">
      <c r="B169" t="str">
        <f t="shared" si="11"/>
        <v/>
      </c>
      <c r="C169" t="str">
        <f t="shared" si="12"/>
        <v/>
      </c>
      <c r="D169" t="str">
        <f t="shared" si="13"/>
        <v/>
      </c>
      <c r="G169" t="str">
        <f t="shared" si="14"/>
        <v/>
      </c>
    </row>
    <row r="170" spans="2:7" x14ac:dyDescent="0.2">
      <c r="B170" t="str">
        <f t="shared" si="11"/>
        <v/>
      </c>
      <c r="C170" t="str">
        <f t="shared" si="12"/>
        <v/>
      </c>
      <c r="D170" t="str">
        <f t="shared" si="13"/>
        <v/>
      </c>
      <c r="G170" t="str">
        <f t="shared" si="14"/>
        <v/>
      </c>
    </row>
    <row r="171" spans="2:7" x14ac:dyDescent="0.2">
      <c r="B171" t="str">
        <f t="shared" si="11"/>
        <v/>
      </c>
      <c r="C171" t="str">
        <f t="shared" si="12"/>
        <v/>
      </c>
      <c r="D171" t="str">
        <f t="shared" si="13"/>
        <v/>
      </c>
      <c r="G171" t="str">
        <f t="shared" si="14"/>
        <v/>
      </c>
    </row>
    <row r="172" spans="2:7" x14ac:dyDescent="0.2">
      <c r="B172" t="str">
        <f t="shared" si="11"/>
        <v/>
      </c>
      <c r="C172" t="str">
        <f t="shared" si="12"/>
        <v/>
      </c>
      <c r="D172" t="str">
        <f t="shared" si="13"/>
        <v/>
      </c>
      <c r="G172" t="str">
        <f t="shared" si="14"/>
        <v/>
      </c>
    </row>
    <row r="173" spans="2:7" x14ac:dyDescent="0.2">
      <c r="B173" t="str">
        <f t="shared" si="11"/>
        <v/>
      </c>
      <c r="C173" t="str">
        <f t="shared" si="12"/>
        <v/>
      </c>
      <c r="D173" t="str">
        <f t="shared" si="13"/>
        <v/>
      </c>
      <c r="G173" t="str">
        <f t="shared" si="14"/>
        <v/>
      </c>
    </row>
    <row r="174" spans="2:7" x14ac:dyDescent="0.2">
      <c r="B174" t="str">
        <f t="shared" si="11"/>
        <v/>
      </c>
      <c r="C174" t="str">
        <f t="shared" si="12"/>
        <v/>
      </c>
      <c r="D174" t="str">
        <f t="shared" si="13"/>
        <v/>
      </c>
      <c r="G174" t="str">
        <f t="shared" si="14"/>
        <v/>
      </c>
    </row>
    <row r="175" spans="2:7" x14ac:dyDescent="0.2">
      <c r="B175" t="str">
        <f t="shared" si="11"/>
        <v/>
      </c>
      <c r="C175" t="str">
        <f t="shared" si="12"/>
        <v/>
      </c>
      <c r="D175" t="str">
        <f t="shared" si="13"/>
        <v/>
      </c>
      <c r="G175" t="str">
        <f t="shared" si="14"/>
        <v/>
      </c>
    </row>
    <row r="176" spans="2:7" x14ac:dyDescent="0.2">
      <c r="B176" t="str">
        <f t="shared" si="11"/>
        <v/>
      </c>
      <c r="C176" t="str">
        <f t="shared" si="12"/>
        <v/>
      </c>
      <c r="D176" t="str">
        <f t="shared" si="13"/>
        <v/>
      </c>
      <c r="G176" t="str">
        <f t="shared" si="14"/>
        <v/>
      </c>
    </row>
    <row r="177" spans="2:7" x14ac:dyDescent="0.2">
      <c r="B177" t="str">
        <f t="shared" si="11"/>
        <v/>
      </c>
      <c r="C177" t="str">
        <f t="shared" si="12"/>
        <v/>
      </c>
      <c r="D177" t="str">
        <f t="shared" si="13"/>
        <v/>
      </c>
      <c r="G177" t="str">
        <f t="shared" si="14"/>
        <v/>
      </c>
    </row>
    <row r="178" spans="2:7" x14ac:dyDescent="0.2">
      <c r="B178" t="str">
        <f t="shared" si="11"/>
        <v/>
      </c>
      <c r="C178" t="str">
        <f t="shared" si="12"/>
        <v/>
      </c>
      <c r="D178" t="str">
        <f t="shared" si="13"/>
        <v/>
      </c>
      <c r="G178" t="str">
        <f t="shared" si="14"/>
        <v/>
      </c>
    </row>
    <row r="179" spans="2:7" x14ac:dyDescent="0.2">
      <c r="B179" t="str">
        <f t="shared" si="11"/>
        <v/>
      </c>
      <c r="C179" t="str">
        <f t="shared" si="12"/>
        <v/>
      </c>
      <c r="D179" t="str">
        <f t="shared" si="13"/>
        <v/>
      </c>
      <c r="G179" t="str">
        <f t="shared" si="14"/>
        <v/>
      </c>
    </row>
    <row r="180" spans="2:7" x14ac:dyDescent="0.2">
      <c r="B180" t="str">
        <f t="shared" si="11"/>
        <v/>
      </c>
      <c r="C180" t="str">
        <f t="shared" si="12"/>
        <v/>
      </c>
      <c r="D180" t="str">
        <f t="shared" si="13"/>
        <v/>
      </c>
      <c r="G180" t="str">
        <f t="shared" si="14"/>
        <v/>
      </c>
    </row>
    <row r="181" spans="2:7" x14ac:dyDescent="0.2">
      <c r="B181" t="str">
        <f t="shared" si="11"/>
        <v/>
      </c>
      <c r="C181" t="str">
        <f t="shared" si="12"/>
        <v/>
      </c>
      <c r="D181" t="str">
        <f t="shared" si="13"/>
        <v/>
      </c>
      <c r="G181" t="str">
        <f t="shared" si="14"/>
        <v/>
      </c>
    </row>
    <row r="182" spans="2:7" x14ac:dyDescent="0.2">
      <c r="B182" t="str">
        <f t="shared" si="11"/>
        <v/>
      </c>
      <c r="C182" t="str">
        <f t="shared" si="12"/>
        <v/>
      </c>
      <c r="D182" t="str">
        <f t="shared" si="13"/>
        <v/>
      </c>
      <c r="G182" t="str">
        <f t="shared" si="14"/>
        <v/>
      </c>
    </row>
    <row r="183" spans="2:7" x14ac:dyDescent="0.2">
      <c r="B183" t="str">
        <f t="shared" si="11"/>
        <v/>
      </c>
      <c r="C183" t="str">
        <f t="shared" si="12"/>
        <v/>
      </c>
      <c r="D183" t="str">
        <f t="shared" si="13"/>
        <v/>
      </c>
      <c r="G183" t="str">
        <f t="shared" si="14"/>
        <v/>
      </c>
    </row>
    <row r="184" spans="2:7" x14ac:dyDescent="0.2">
      <c r="B184" t="str">
        <f t="shared" si="11"/>
        <v/>
      </c>
      <c r="C184" t="str">
        <f t="shared" si="12"/>
        <v/>
      </c>
      <c r="D184" t="str">
        <f t="shared" si="13"/>
        <v/>
      </c>
      <c r="G184" t="str">
        <f t="shared" si="14"/>
        <v/>
      </c>
    </row>
    <row r="185" spans="2:7" x14ac:dyDescent="0.2">
      <c r="B185" t="str">
        <f t="shared" si="11"/>
        <v/>
      </c>
      <c r="C185" t="str">
        <f t="shared" si="12"/>
        <v/>
      </c>
      <c r="D185" t="str">
        <f t="shared" si="13"/>
        <v/>
      </c>
      <c r="G185" t="str">
        <f t="shared" si="14"/>
        <v/>
      </c>
    </row>
    <row r="186" spans="2:7" x14ac:dyDescent="0.2">
      <c r="B186" t="str">
        <f t="shared" si="11"/>
        <v/>
      </c>
      <c r="C186" t="str">
        <f t="shared" si="12"/>
        <v/>
      </c>
      <c r="D186" t="str">
        <f t="shared" si="13"/>
        <v/>
      </c>
      <c r="G186" t="str">
        <f t="shared" si="14"/>
        <v/>
      </c>
    </row>
    <row r="187" spans="2:7" x14ac:dyDescent="0.2">
      <c r="B187" t="str">
        <f t="shared" si="11"/>
        <v/>
      </c>
      <c r="C187" t="str">
        <f t="shared" si="12"/>
        <v/>
      </c>
      <c r="D187" t="str">
        <f t="shared" si="13"/>
        <v/>
      </c>
      <c r="G187" t="str">
        <f t="shared" si="14"/>
        <v/>
      </c>
    </row>
    <row r="188" spans="2:7" x14ac:dyDescent="0.2">
      <c r="B188" t="str">
        <f t="shared" si="11"/>
        <v/>
      </c>
      <c r="C188" t="str">
        <f t="shared" si="12"/>
        <v/>
      </c>
      <c r="D188" t="str">
        <f t="shared" si="13"/>
        <v/>
      </c>
      <c r="G188" t="str">
        <f t="shared" si="14"/>
        <v/>
      </c>
    </row>
    <row r="189" spans="2:7" x14ac:dyDescent="0.2">
      <c r="B189" t="str">
        <f t="shared" si="11"/>
        <v/>
      </c>
      <c r="C189" t="str">
        <f t="shared" si="12"/>
        <v/>
      </c>
      <c r="D189" t="str">
        <f t="shared" si="13"/>
        <v/>
      </c>
      <c r="G189" t="str">
        <f t="shared" si="14"/>
        <v/>
      </c>
    </row>
    <row r="190" spans="2:7" x14ac:dyDescent="0.2">
      <c r="B190" t="str">
        <f t="shared" si="11"/>
        <v/>
      </c>
      <c r="C190" t="str">
        <f t="shared" si="12"/>
        <v/>
      </c>
      <c r="D190" t="str">
        <f t="shared" si="13"/>
        <v/>
      </c>
      <c r="G190" t="str">
        <f t="shared" si="14"/>
        <v/>
      </c>
    </row>
    <row r="191" spans="2:7" x14ac:dyDescent="0.2">
      <c r="B191" t="str">
        <f t="shared" si="11"/>
        <v/>
      </c>
      <c r="C191" t="str">
        <f t="shared" si="12"/>
        <v/>
      </c>
      <c r="D191" t="str">
        <f t="shared" si="13"/>
        <v/>
      </c>
      <c r="G191" t="str">
        <f t="shared" si="14"/>
        <v/>
      </c>
    </row>
    <row r="192" spans="2:7" x14ac:dyDescent="0.2">
      <c r="B192" t="str">
        <f t="shared" si="11"/>
        <v/>
      </c>
      <c r="C192" t="str">
        <f t="shared" si="12"/>
        <v/>
      </c>
      <c r="D192" t="str">
        <f t="shared" si="13"/>
        <v/>
      </c>
      <c r="G192" t="str">
        <f t="shared" si="14"/>
        <v/>
      </c>
    </row>
    <row r="193" spans="2:7" x14ac:dyDescent="0.2">
      <c r="B193" t="str">
        <f t="shared" si="11"/>
        <v/>
      </c>
      <c r="C193" t="str">
        <f t="shared" si="12"/>
        <v/>
      </c>
      <c r="D193" t="str">
        <f t="shared" si="13"/>
        <v/>
      </c>
      <c r="G193" t="str">
        <f t="shared" si="14"/>
        <v/>
      </c>
    </row>
    <row r="194" spans="2:7" x14ac:dyDescent="0.2">
      <c r="B194" t="str">
        <f t="shared" si="11"/>
        <v/>
      </c>
      <c r="C194" t="str">
        <f t="shared" si="12"/>
        <v/>
      </c>
      <c r="D194" t="str">
        <f t="shared" si="13"/>
        <v/>
      </c>
      <c r="G194" t="str">
        <f t="shared" si="14"/>
        <v/>
      </c>
    </row>
    <row r="195" spans="2:7" x14ac:dyDescent="0.2">
      <c r="B195" t="str">
        <f t="shared" si="11"/>
        <v/>
      </c>
      <c r="C195" t="str">
        <f t="shared" si="12"/>
        <v/>
      </c>
      <c r="D195" t="str">
        <f t="shared" si="13"/>
        <v/>
      </c>
      <c r="G195" t="str">
        <f t="shared" si="14"/>
        <v/>
      </c>
    </row>
    <row r="196" spans="2:7" x14ac:dyDescent="0.2">
      <c r="B196" t="str">
        <f t="shared" si="11"/>
        <v/>
      </c>
      <c r="C196" t="str">
        <f t="shared" si="12"/>
        <v/>
      </c>
      <c r="D196" t="str">
        <f t="shared" si="13"/>
        <v/>
      </c>
      <c r="G196" t="str">
        <f t="shared" si="14"/>
        <v/>
      </c>
    </row>
    <row r="197" spans="2:7" x14ac:dyDescent="0.2">
      <c r="B197" t="str">
        <f t="shared" si="11"/>
        <v/>
      </c>
      <c r="C197" t="str">
        <f t="shared" si="12"/>
        <v/>
      </c>
      <c r="D197" t="str">
        <f t="shared" si="13"/>
        <v/>
      </c>
      <c r="G197" t="str">
        <f t="shared" si="14"/>
        <v/>
      </c>
    </row>
    <row r="198" spans="2:7" x14ac:dyDescent="0.2">
      <c r="B198" t="str">
        <f t="shared" si="11"/>
        <v/>
      </c>
      <c r="C198" t="str">
        <f t="shared" si="12"/>
        <v/>
      </c>
      <c r="D198" t="str">
        <f t="shared" si="13"/>
        <v/>
      </c>
      <c r="G198" t="str">
        <f t="shared" si="14"/>
        <v/>
      </c>
    </row>
    <row r="199" spans="2:7" x14ac:dyDescent="0.2">
      <c r="B199" t="str">
        <f t="shared" ref="B199" si="15">IF(J199=0,"",J199)</f>
        <v/>
      </c>
      <c r="C199" t="str">
        <f t="shared" si="12"/>
        <v/>
      </c>
      <c r="D199" t="str">
        <f t="shared" si="13"/>
        <v/>
      </c>
    </row>
  </sheetData>
  <phoneticPr fontId="0" type="noConversion"/>
  <pageMargins left="0.75" right="0.75" top="1" bottom="1" header="0.5" footer="0.5"/>
  <pageSetup paperSize="9" orientation="portrait"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077CF-BCE9-46D4-AD95-5EB6BFB2C2E4}">
  <dimension ref="B2:G17"/>
  <sheetViews>
    <sheetView tabSelected="1" workbookViewId="0">
      <selection activeCell="C7" sqref="C7"/>
    </sheetView>
  </sheetViews>
  <sheetFormatPr defaultRowHeight="12.75" x14ac:dyDescent="0.2"/>
  <cols>
    <col min="2" max="2" width="18.140625" customWidth="1"/>
    <col min="3" max="3" width="22.7109375" customWidth="1"/>
  </cols>
  <sheetData>
    <row r="2" spans="2:7" ht="15" x14ac:dyDescent="0.25">
      <c r="B2" s="74" t="s">
        <v>18</v>
      </c>
      <c r="C2" s="73"/>
      <c r="D2" s="73"/>
    </row>
    <row r="3" spans="2:7" x14ac:dyDescent="0.2">
      <c r="B3" s="77" t="s">
        <v>21</v>
      </c>
      <c r="C3" s="77" t="s">
        <v>141</v>
      </c>
      <c r="D3" s="77" t="s">
        <v>33</v>
      </c>
    </row>
    <row r="4" spans="2:7" ht="15" x14ac:dyDescent="0.25">
      <c r="B4" s="76" t="s">
        <v>142</v>
      </c>
      <c r="C4" s="75" t="s">
        <v>143</v>
      </c>
      <c r="D4" s="73">
        <v>1</v>
      </c>
    </row>
    <row r="5" spans="2:7" ht="15" x14ac:dyDescent="0.25">
      <c r="B5" s="76" t="s">
        <v>142</v>
      </c>
      <c r="C5" s="75" t="s">
        <v>144</v>
      </c>
      <c r="D5" s="73">
        <v>1</v>
      </c>
    </row>
    <row r="7" spans="2:7" x14ac:dyDescent="0.2">
      <c r="B7" s="68" t="s">
        <v>18</v>
      </c>
      <c r="C7" s="68"/>
      <c r="D7" s="68"/>
    </row>
    <row r="8" spans="2:7" x14ac:dyDescent="0.2">
      <c r="B8" s="69" t="s">
        <v>21</v>
      </c>
      <c r="C8" s="69" t="s">
        <v>3</v>
      </c>
      <c r="D8" s="69" t="s">
        <v>2</v>
      </c>
      <c r="F8" s="69" t="s">
        <v>102</v>
      </c>
      <c r="G8" s="69" t="s">
        <v>8</v>
      </c>
    </row>
    <row r="9" spans="2:7" x14ac:dyDescent="0.2">
      <c r="B9" s="68" t="str">
        <f t="shared" ref="B9:B15" si="0">IF(F9="Yes","RPT_OPT","*")</f>
        <v>*</v>
      </c>
      <c r="C9" s="68" t="s">
        <v>103</v>
      </c>
      <c r="D9" s="68">
        <v>1</v>
      </c>
      <c r="F9" t="s">
        <v>104</v>
      </c>
      <c r="G9" t="s">
        <v>105</v>
      </c>
    </row>
    <row r="10" spans="2:7" x14ac:dyDescent="0.2">
      <c r="B10" s="68" t="str">
        <f t="shared" si="0"/>
        <v>RPT_OPT</v>
      </c>
      <c r="C10" s="68" t="s">
        <v>106</v>
      </c>
      <c r="D10" s="68">
        <v>1</v>
      </c>
      <c r="F10" t="s">
        <v>107</v>
      </c>
      <c r="G10" t="s">
        <v>108</v>
      </c>
    </row>
    <row r="11" spans="2:7" x14ac:dyDescent="0.2">
      <c r="B11" s="68" t="str">
        <f t="shared" si="0"/>
        <v>*</v>
      </c>
      <c r="C11" s="68" t="s">
        <v>109</v>
      </c>
      <c r="D11" s="68">
        <v>1</v>
      </c>
      <c r="F11" t="s">
        <v>104</v>
      </c>
      <c r="G11" t="s">
        <v>110</v>
      </c>
    </row>
    <row r="12" spans="2:7" x14ac:dyDescent="0.2">
      <c r="B12" s="68" t="str">
        <f t="shared" si="0"/>
        <v>*</v>
      </c>
      <c r="C12" s="68" t="s">
        <v>111</v>
      </c>
      <c r="D12" s="68">
        <v>1</v>
      </c>
      <c r="F12" t="s">
        <v>104</v>
      </c>
      <c r="G12" t="s">
        <v>112</v>
      </c>
    </row>
    <row r="13" spans="2:7" x14ac:dyDescent="0.2">
      <c r="B13" s="68" t="str">
        <f t="shared" si="0"/>
        <v>*</v>
      </c>
      <c r="C13" s="68" t="s">
        <v>113</v>
      </c>
      <c r="D13" s="68">
        <v>1</v>
      </c>
      <c r="F13" t="s">
        <v>104</v>
      </c>
      <c r="G13" t="s">
        <v>114</v>
      </c>
    </row>
    <row r="14" spans="2:7" x14ac:dyDescent="0.2">
      <c r="B14" s="68" t="str">
        <f t="shared" si="0"/>
        <v>RPT_OPT</v>
      </c>
      <c r="C14" s="68" t="s">
        <v>115</v>
      </c>
      <c r="D14" s="68">
        <v>1</v>
      </c>
      <c r="F14" t="s">
        <v>107</v>
      </c>
      <c r="G14" t="s">
        <v>116</v>
      </c>
    </row>
    <row r="15" spans="2:7" x14ac:dyDescent="0.2">
      <c r="B15" s="68" t="str">
        <f t="shared" si="0"/>
        <v>RPT_OPT</v>
      </c>
      <c r="C15" s="68" t="s">
        <v>117</v>
      </c>
      <c r="D15" s="68">
        <v>1</v>
      </c>
      <c r="F15" t="s">
        <v>107</v>
      </c>
      <c r="G15" t="s">
        <v>118</v>
      </c>
    </row>
    <row r="17" spans="2:4" x14ac:dyDescent="0.2">
      <c r="B17" s="68"/>
      <c r="C17" s="68"/>
      <c r="D17" s="6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Region-Time Slices</vt:lpstr>
      <vt:lpstr>TimePeriods</vt:lpstr>
      <vt:lpstr>Import Settings</vt:lpstr>
      <vt:lpstr>Interpol_Extrapol_Defaults</vt:lpstr>
      <vt:lpstr>Constants</vt:lpstr>
      <vt:lpstr>Defaults</vt:lpstr>
      <vt:lpstr>Commodity Group_TIMESreport</vt:lpstr>
      <vt:lpstr>Runfile Switches</vt:lpstr>
    </vt:vector>
  </TitlesOfParts>
  <Company>Dell Computer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Kristoffer Steen Andersen</cp:lastModifiedBy>
  <cp:lastPrinted>2001-09-28T20:39:50Z</cp:lastPrinted>
  <dcterms:created xsi:type="dcterms:W3CDTF">2001-09-28T18:48:17Z</dcterms:created>
  <dcterms:modified xsi:type="dcterms:W3CDTF">2025-12-16T10:41:53Z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766094386577606</vt:r8>
  </property>
</Properties>
</file>