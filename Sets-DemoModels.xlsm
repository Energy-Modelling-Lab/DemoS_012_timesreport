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kristoffer\DemoS_012_timesreport\"/>
    </mc:Choice>
  </mc:AlternateContent>
  <xr:revisionPtr revIDLastSave="0" documentId="13_ncr:1_{3AF9AB34-D62C-4788-9189-A5C9686898CA}" xr6:coauthVersionLast="47" xr6:coauthVersionMax="47" xr10:uidLastSave="{00000000-0000-0000-0000-000000000000}"/>
  <bookViews>
    <workbookView xWindow="-57720" yWindow="-120" windowWidth="57840" windowHeight="31920" activeTab="3" xr2:uid="{008F860A-1793-4F78-8899-BE3F7B7A437A}"/>
  </bookViews>
  <sheets>
    <sheet name="VEDA_Sets-Comm" sheetId="2" r:id="rId1"/>
    <sheet name="VEDA_Sets-Proc" sheetId="1" r:id="rId2"/>
    <sheet name="TIMESreport_Sets-Comm" sheetId="3" r:id="rId3"/>
    <sheet name="TIMESreport_Sets-Proc" sheetId="4" r:id="rId4"/>
  </sheets>
  <functionGroups builtInGroupCount="19"/>
  <definedNames>
    <definedName name="_xlnm._FilterDatabase" localSheetId="3" hidden="1">'TIMESreport_Sets-Proc'!$A$2:$N$54</definedName>
    <definedName name="TIMESreport_RangeCommoditySets" comment="Data range related to commodity sets to be copied to syssettings.xlsx and Scen_Z_TIMES-Report.xlsx for use in TIMESreport">'TIMESreport_Sets-Comm'!$A$3:$C$575</definedName>
    <definedName name="TIMESreport_RangeProcesSets" comment="Data range related to process sets to be copied to syssettings.xlsx and Scen_Z_TIMES-Report.xlsx for use in TIMESreport">'TIMESreport_Sets-Proc'!$A$3:$C$575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08" i="4" l="1"/>
  <c r="E208" i="4"/>
  <c r="F207" i="4"/>
  <c r="E207" i="4"/>
  <c r="F206" i="4"/>
  <c r="E206" i="4"/>
  <c r="F205" i="4"/>
  <c r="E205" i="4"/>
  <c r="F204" i="4"/>
  <c r="E204" i="4"/>
  <c r="F203" i="4"/>
  <c r="E203" i="4"/>
  <c r="F202" i="4"/>
  <c r="E202" i="4"/>
  <c r="F201" i="4"/>
  <c r="E201" i="4"/>
  <c r="F200" i="4"/>
  <c r="E200" i="4"/>
  <c r="F199" i="4"/>
  <c r="E199" i="4"/>
  <c r="F198" i="4"/>
  <c r="E198" i="4"/>
  <c r="F197" i="4"/>
  <c r="E197" i="4"/>
  <c r="F196" i="4"/>
  <c r="E196" i="4"/>
  <c r="F195" i="4"/>
  <c r="E195" i="4"/>
  <c r="F194" i="4"/>
  <c r="E194" i="4"/>
  <c r="F193" i="4"/>
  <c r="E193" i="4"/>
  <c r="F192" i="4"/>
  <c r="E192" i="4"/>
  <c r="F191" i="4"/>
  <c r="E191" i="4"/>
  <c r="F190" i="4"/>
  <c r="E190" i="4"/>
  <c r="F189" i="4"/>
  <c r="E189" i="4"/>
  <c r="F188" i="4"/>
  <c r="E188" i="4"/>
  <c r="F187" i="4"/>
  <c r="E187" i="4"/>
  <c r="F186" i="4"/>
  <c r="E186" i="4"/>
  <c r="F185" i="4"/>
  <c r="E185" i="4"/>
  <c r="F184" i="4"/>
  <c r="E184" i="4"/>
  <c r="F183" i="4"/>
  <c r="E183" i="4"/>
  <c r="F182" i="4"/>
  <c r="E182" i="4"/>
  <c r="F181" i="4"/>
  <c r="E181" i="4"/>
  <c r="F180" i="4"/>
  <c r="E180" i="4"/>
  <c r="F179" i="4"/>
  <c r="E179" i="4"/>
  <c r="F178" i="4"/>
  <c r="E178" i="4"/>
  <c r="F177" i="4"/>
  <c r="E177" i="4"/>
  <c r="F176" i="4"/>
  <c r="E176" i="4"/>
  <c r="F175" i="4"/>
  <c r="E175" i="4"/>
  <c r="F174" i="4"/>
  <c r="E174" i="4"/>
  <c r="F173" i="4"/>
  <c r="E173" i="4"/>
  <c r="F172" i="4"/>
  <c r="E172" i="4"/>
  <c r="F171" i="4"/>
  <c r="E171" i="4"/>
  <c r="F170" i="4"/>
  <c r="E170" i="4"/>
  <c r="F169" i="4"/>
  <c r="E169" i="4"/>
  <c r="F168" i="4"/>
  <c r="E168" i="4"/>
  <c r="F167" i="4"/>
  <c r="E167" i="4"/>
  <c r="F166" i="4"/>
  <c r="E166" i="4"/>
  <c r="F165" i="4"/>
  <c r="E165" i="4"/>
  <c r="F164" i="4"/>
  <c r="E164" i="4"/>
  <c r="F163" i="4"/>
  <c r="E163" i="4"/>
  <c r="F162" i="4"/>
  <c r="E162" i="4"/>
  <c r="F161" i="4"/>
  <c r="E161" i="4"/>
  <c r="F160" i="4"/>
  <c r="E160" i="4"/>
  <c r="F159" i="4"/>
  <c r="E159" i="4"/>
  <c r="F158" i="4"/>
  <c r="E158" i="4"/>
  <c r="F157" i="4"/>
  <c r="E157" i="4"/>
  <c r="F156" i="4"/>
  <c r="E156" i="4"/>
  <c r="F155" i="4"/>
  <c r="E155" i="4"/>
  <c r="F154" i="4"/>
  <c r="E154" i="4"/>
  <c r="F153" i="4"/>
  <c r="E153" i="4"/>
  <c r="F152" i="4"/>
  <c r="E152" i="4"/>
  <c r="F151" i="4"/>
  <c r="E151" i="4"/>
  <c r="F150" i="4"/>
  <c r="E150" i="4"/>
  <c r="F149" i="4"/>
  <c r="E149" i="4"/>
  <c r="F148" i="4"/>
  <c r="E148" i="4"/>
  <c r="F147" i="4"/>
  <c r="E147" i="4"/>
  <c r="F146" i="4"/>
  <c r="E146" i="4"/>
  <c r="F145" i="4"/>
  <c r="E145" i="4"/>
  <c r="F144" i="4"/>
  <c r="E144" i="4"/>
  <c r="F143" i="4"/>
  <c r="E143" i="4"/>
  <c r="F142" i="4"/>
  <c r="E142" i="4"/>
  <c r="F141" i="4"/>
  <c r="E141" i="4"/>
  <c r="F140" i="4"/>
  <c r="E140" i="4"/>
  <c r="F139" i="4"/>
  <c r="E139" i="4"/>
  <c r="F138" i="4"/>
  <c r="E138" i="4"/>
  <c r="F137" i="4"/>
  <c r="E137" i="4"/>
  <c r="F136" i="4"/>
  <c r="E136" i="4"/>
  <c r="F135" i="4"/>
  <c r="E135" i="4"/>
  <c r="F134" i="4"/>
  <c r="E134" i="4"/>
  <c r="F133" i="4"/>
  <c r="E133" i="4"/>
  <c r="F132" i="4"/>
  <c r="E132" i="4"/>
  <c r="F131" i="4"/>
  <c r="E131" i="4"/>
  <c r="F130" i="4"/>
  <c r="E130" i="4"/>
  <c r="F129" i="4"/>
  <c r="E129" i="4"/>
  <c r="F128" i="4"/>
  <c r="E128" i="4"/>
  <c r="F127" i="4"/>
  <c r="E127" i="4"/>
  <c r="F126" i="4"/>
  <c r="E126" i="4"/>
  <c r="F125" i="4"/>
  <c r="E125" i="4"/>
  <c r="F124" i="4"/>
  <c r="E124" i="4"/>
  <c r="F123" i="4"/>
  <c r="E123" i="4"/>
  <c r="F122" i="4"/>
  <c r="E122" i="4"/>
  <c r="F121" i="4"/>
  <c r="E121" i="4"/>
  <c r="F120" i="4"/>
  <c r="E120" i="4"/>
  <c r="F119" i="4"/>
  <c r="E119" i="4"/>
  <c r="F118" i="4"/>
  <c r="E118" i="4"/>
  <c r="F117" i="4"/>
  <c r="E117" i="4"/>
  <c r="F116" i="4"/>
  <c r="E116" i="4"/>
  <c r="F115" i="4"/>
  <c r="E115" i="4"/>
  <c r="F114" i="4"/>
  <c r="E114" i="4"/>
  <c r="F113" i="4"/>
  <c r="E113" i="4"/>
  <c r="F112" i="4"/>
  <c r="E112" i="4"/>
  <c r="F111" i="4"/>
  <c r="E111" i="4"/>
  <c r="F110" i="4"/>
  <c r="E110" i="4"/>
  <c r="F109" i="4"/>
  <c r="E109" i="4"/>
  <c r="F108" i="4"/>
  <c r="E108" i="4"/>
  <c r="F107" i="4"/>
  <c r="E107" i="4"/>
  <c r="F106" i="4"/>
  <c r="E106" i="4"/>
  <c r="F105" i="4"/>
  <c r="E105" i="4"/>
  <c r="F104" i="4"/>
  <c r="E104" i="4"/>
  <c r="F103" i="4"/>
  <c r="E103" i="4"/>
  <c r="F102" i="4"/>
  <c r="E102" i="4"/>
  <c r="F101" i="4"/>
  <c r="E101" i="4"/>
  <c r="F100" i="4"/>
  <c r="E100" i="4"/>
  <c r="F99" i="4"/>
  <c r="E99" i="4"/>
  <c r="F98" i="4"/>
  <c r="E98" i="4"/>
  <c r="F97" i="4"/>
  <c r="E97" i="4"/>
  <c r="F96" i="4"/>
  <c r="E96" i="4"/>
  <c r="F95" i="4"/>
  <c r="E95" i="4"/>
  <c r="F94" i="4"/>
  <c r="E94" i="4"/>
  <c r="F93" i="4"/>
  <c r="E93" i="4"/>
  <c r="F92" i="4"/>
  <c r="E92" i="4"/>
  <c r="F91" i="4"/>
  <c r="E91" i="4"/>
  <c r="F90" i="4"/>
  <c r="E90" i="4"/>
  <c r="F89" i="4"/>
  <c r="E89" i="4"/>
  <c r="F88" i="4"/>
  <c r="E88" i="4"/>
  <c r="F87" i="4"/>
  <c r="E87" i="4"/>
  <c r="F86" i="4"/>
  <c r="E86" i="4"/>
  <c r="F85" i="4"/>
  <c r="E85" i="4"/>
  <c r="F84" i="4"/>
  <c r="E84" i="4"/>
  <c r="F83" i="4"/>
  <c r="E83" i="4"/>
  <c r="F82" i="4"/>
  <c r="E82" i="4"/>
  <c r="F81" i="4"/>
  <c r="E81" i="4"/>
  <c r="F80" i="4"/>
  <c r="E80" i="4"/>
  <c r="F79" i="4"/>
  <c r="E79" i="4"/>
  <c r="F78" i="4"/>
  <c r="E78" i="4"/>
  <c r="F77" i="4"/>
  <c r="E77" i="4"/>
  <c r="F76" i="4"/>
  <c r="E76" i="4"/>
  <c r="F75" i="4"/>
  <c r="E75" i="4"/>
  <c r="F74" i="4"/>
  <c r="E74" i="4"/>
  <c r="F73" i="4"/>
  <c r="E73" i="4"/>
  <c r="F72" i="4"/>
  <c r="E72" i="4"/>
  <c r="F71" i="4"/>
  <c r="E71" i="4"/>
  <c r="F70" i="4"/>
  <c r="E70" i="4"/>
  <c r="F69" i="4"/>
  <c r="E69" i="4"/>
  <c r="F68" i="4"/>
  <c r="E68" i="4"/>
  <c r="F67" i="4"/>
  <c r="E67" i="4"/>
  <c r="F66" i="4"/>
  <c r="E66" i="4"/>
  <c r="F65" i="4"/>
  <c r="E65" i="4"/>
  <c r="F64" i="4"/>
  <c r="E64" i="4"/>
  <c r="F63" i="4"/>
  <c r="E63" i="4"/>
  <c r="F62" i="4"/>
  <c r="E62" i="4"/>
  <c r="F61" i="4"/>
  <c r="E61" i="4"/>
  <c r="F60" i="4"/>
  <c r="E60" i="4"/>
  <c r="F59" i="4"/>
  <c r="E59" i="4"/>
  <c r="F58" i="4"/>
  <c r="E58" i="4"/>
  <c r="F57" i="4"/>
  <c r="E57" i="4"/>
  <c r="F56" i="4"/>
  <c r="E56" i="4"/>
  <c r="F55" i="4"/>
  <c r="E55" i="4"/>
  <c r="F54" i="4"/>
  <c r="E54" i="4"/>
  <c r="F53" i="4"/>
  <c r="E53" i="4"/>
  <c r="F52" i="4"/>
  <c r="E52" i="4"/>
  <c r="F51" i="4"/>
  <c r="E51" i="4"/>
  <c r="F50" i="4"/>
  <c r="E50" i="4"/>
  <c r="F49" i="4"/>
  <c r="E49" i="4"/>
  <c r="F48" i="4"/>
  <c r="E48" i="4"/>
  <c r="F47" i="4"/>
  <c r="E47" i="4"/>
  <c r="F46" i="4"/>
  <c r="E46" i="4"/>
  <c r="F45" i="4"/>
  <c r="E45" i="4"/>
  <c r="F44" i="4"/>
  <c r="E44" i="4"/>
  <c r="F43" i="4"/>
  <c r="E43" i="4"/>
  <c r="F42" i="4"/>
  <c r="E42" i="4"/>
  <c r="F41" i="4"/>
  <c r="E41" i="4"/>
  <c r="F40" i="4"/>
  <c r="E40" i="4"/>
  <c r="F39" i="4"/>
  <c r="E39" i="4"/>
  <c r="F38" i="4"/>
  <c r="E38" i="4"/>
  <c r="F37" i="4"/>
  <c r="E37" i="4"/>
  <c r="F36" i="4"/>
  <c r="E36" i="4"/>
  <c r="F35" i="4"/>
  <c r="E35" i="4"/>
  <c r="F34" i="4"/>
  <c r="E34" i="4"/>
  <c r="F33" i="4"/>
  <c r="E33" i="4"/>
  <c r="F32" i="4"/>
  <c r="E32" i="4"/>
  <c r="F31" i="4"/>
  <c r="E31" i="4"/>
  <c r="F30" i="4"/>
  <c r="E30" i="4"/>
  <c r="F29" i="4"/>
  <c r="E29" i="4"/>
  <c r="F28" i="4"/>
  <c r="E28" i="4"/>
  <c r="F27" i="4"/>
  <c r="E27" i="4"/>
  <c r="F26" i="4"/>
  <c r="E26" i="4"/>
  <c r="F25" i="4"/>
  <c r="E25" i="4"/>
  <c r="F24" i="4"/>
  <c r="E24" i="4"/>
  <c r="F23" i="4"/>
  <c r="E23" i="4"/>
  <c r="F22" i="4"/>
  <c r="E22" i="4"/>
  <c r="F21" i="4"/>
  <c r="E21" i="4"/>
  <c r="F20" i="4"/>
  <c r="E20" i="4"/>
  <c r="F19" i="4"/>
  <c r="E19" i="4"/>
  <c r="F18" i="4"/>
  <c r="E18" i="4"/>
  <c r="F17" i="4"/>
  <c r="E17" i="4"/>
  <c r="F16" i="4"/>
  <c r="E16" i="4"/>
  <c r="F15" i="4"/>
  <c r="E15" i="4"/>
  <c r="F14" i="4"/>
  <c r="E14" i="4"/>
  <c r="F13" i="4"/>
  <c r="E13" i="4"/>
  <c r="F12" i="4"/>
  <c r="E12" i="4"/>
  <c r="F11" i="4"/>
  <c r="E11" i="4"/>
  <c r="F10" i="4"/>
  <c r="E10" i="4"/>
  <c r="F9" i="4"/>
  <c r="E9" i="4"/>
  <c r="F8" i="4"/>
  <c r="E8" i="4"/>
  <c r="F7" i="4"/>
  <c r="E7" i="4"/>
  <c r="F6" i="4"/>
  <c r="E6" i="4"/>
  <c r="F5" i="4"/>
  <c r="E5" i="4"/>
  <c r="F4" i="4"/>
  <c r="E4" i="4"/>
  <c r="F3" i="4"/>
  <c r="E3" i="4"/>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4" i="3"/>
  <c r="F3"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Kristoffer Steen Andersen</author>
  </authors>
  <commentList>
    <comment ref="A2" authorId="0" shapeId="0" xr:uid="{942B26F1-E7E3-4CB4-BF4E-1633C8218078}">
      <text>
        <r>
          <rPr>
            <b/>
            <sz val="9"/>
            <color indexed="81"/>
            <rFont val="Tahoma"/>
            <family val="2"/>
          </rPr>
          <t>Column A:</t>
        </r>
        <r>
          <rPr>
            <sz val="9"/>
            <color indexed="81"/>
            <rFont val="Tahoma"/>
            <family val="2"/>
          </rPr>
          <t xml:space="preserve"> Name of TIMESreport commodity set
</t>
        </r>
        <r>
          <rPr>
            <b/>
            <sz val="9"/>
            <color indexed="81"/>
            <rFont val="Tahoma"/>
            <family val="2"/>
          </rPr>
          <t>Column B:</t>
        </r>
        <r>
          <rPr>
            <sz val="9"/>
            <color indexed="81"/>
            <rFont val="Tahoma"/>
            <family val="2"/>
          </rPr>
          <t xml:space="preserve"> Description of TIMESreport commodity set (used to define labels downstream)
</t>
        </r>
        <r>
          <rPr>
            <b/>
            <sz val="9"/>
            <color indexed="81"/>
            <rFont val="Tahoma"/>
            <family val="2"/>
          </rPr>
          <t xml:space="preserve">Column C: </t>
        </r>
        <r>
          <rPr>
            <sz val="9"/>
            <color indexed="81"/>
            <rFont val="Tahoma"/>
            <family val="2"/>
          </rPr>
          <t xml:space="preserve">Specifies which TIMESreport dimension the commodity set belongs to
</t>
        </r>
        <r>
          <rPr>
            <b/>
            <sz val="9"/>
            <color indexed="81"/>
            <rFont val="Tahoma"/>
            <family val="2"/>
          </rPr>
          <t>Columns E-K:</t>
        </r>
        <r>
          <rPr>
            <sz val="9"/>
            <color indexed="81"/>
            <rFont val="Tahoma"/>
            <family val="2"/>
          </rPr>
          <t xml:space="preserve"> Standard VEDA filtering approach for each TIMESreport commodity set
</t>
        </r>
        <r>
          <rPr>
            <b/>
            <sz val="9"/>
            <color indexed="81"/>
            <rFont val="Tahoma"/>
            <family val="2"/>
          </rPr>
          <t>Note:</t>
        </r>
        <r>
          <rPr>
            <sz val="9"/>
            <color indexed="81"/>
            <rFont val="Tahoma"/>
            <family val="2"/>
          </rPr>
          <t xml:space="preserve"> When defining sets for a specific TIMESreport dimension, ensure that each commodity belongs to only one element within that dimension. For example, a commodity cannot be part of both NRG_ELC (Electricity) and NRG_GAS (Gas), as this would result in double-counting. If such overlap occurs, timesreport.gms will abort execution.
</t>
        </r>
        <r>
          <rPr>
            <b/>
            <sz val="9"/>
            <color indexed="81"/>
            <rFont val="Tahoma"/>
            <family val="2"/>
          </rPr>
          <t>User flexibility</t>
        </r>
        <r>
          <rPr>
            <sz val="9"/>
            <color indexed="81"/>
            <rFont val="Tahoma"/>
            <family val="2"/>
          </rPr>
          <t xml:space="preserve">: The naming conventions, set definitions, and dimension structure are fully customizable by the user. However, modifying the dimensions, e.g., adding additional commodity dimensions to timesreport, requires GAMS programming skills, as changes must be reflected in the timesreport.gms code.
</t>
        </r>
        <r>
          <rPr>
            <b/>
            <sz val="9"/>
            <color indexed="81"/>
            <rFont val="Tahoma"/>
            <family val="2"/>
          </rPr>
          <t xml:space="preserve">After adding a new commodity set you need to run the VBA code (CopyDataToWorkbooks) using the bottom to the right in order to update information on timesreport commodity set in syssettings.xlsx and Scen_Z_TIMESReport.xlsx.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Kristoffer Steen Andersen</author>
  </authors>
  <commentList>
    <comment ref="A2" authorId="0" shapeId="0" xr:uid="{5FE19655-0160-4772-9D1D-F36D7641D2AF}">
      <text>
        <r>
          <rPr>
            <b/>
            <sz val="9"/>
            <color indexed="81"/>
            <rFont val="Tahoma"/>
            <family val="2"/>
          </rPr>
          <t>Column A</t>
        </r>
        <r>
          <rPr>
            <sz val="9"/>
            <color indexed="81"/>
            <rFont val="Tahoma"/>
            <family val="2"/>
          </rPr>
          <t xml:space="preserve">: Name of TIMESreport process set
</t>
        </r>
        <r>
          <rPr>
            <b/>
            <sz val="9"/>
            <color indexed="81"/>
            <rFont val="Tahoma"/>
            <family val="2"/>
          </rPr>
          <t>Column B</t>
        </r>
        <r>
          <rPr>
            <sz val="9"/>
            <color indexed="81"/>
            <rFont val="Tahoma"/>
            <family val="2"/>
          </rPr>
          <t xml:space="preserve">: Description of TIMESreport process set (used to define labels downstream)
</t>
        </r>
        <r>
          <rPr>
            <b/>
            <sz val="9"/>
            <color indexed="81"/>
            <rFont val="Tahoma"/>
            <family val="2"/>
          </rPr>
          <t>Column C</t>
        </r>
        <r>
          <rPr>
            <sz val="9"/>
            <color indexed="81"/>
            <rFont val="Tahoma"/>
            <family val="2"/>
          </rPr>
          <t xml:space="preserve">: Specifies which TIMESreport dimension the process set belongs to
</t>
        </r>
        <r>
          <rPr>
            <b/>
            <sz val="9"/>
            <color indexed="81"/>
            <rFont val="Tahoma"/>
            <family val="2"/>
          </rPr>
          <t>Columns E-M</t>
        </r>
        <r>
          <rPr>
            <sz val="9"/>
            <color indexed="81"/>
            <rFont val="Tahoma"/>
            <family val="2"/>
          </rPr>
          <t xml:space="preserve">: Standard VEDA filtering approach for each TIMESreport process set
</t>
        </r>
        <r>
          <rPr>
            <b/>
            <sz val="9"/>
            <color indexed="81"/>
            <rFont val="Tahoma"/>
            <family val="2"/>
          </rPr>
          <t>Note:</t>
        </r>
        <r>
          <rPr>
            <sz val="9"/>
            <color indexed="81"/>
            <rFont val="Tahoma"/>
            <family val="2"/>
          </rPr>
          <t xml:space="preserve"> When defining sets for a specific TIMESreport dimension, ensure that each process belongs to only one element within that dimension. For example, a process cannot be part of both SC_AGR (Agriculture sector) and SC_COM (Commercial Sector), as this would result in double-counting. If such overlap occurs, timesreport.gms will abort execution.
</t>
        </r>
        <r>
          <rPr>
            <b/>
            <sz val="9"/>
            <color indexed="81"/>
            <rFont val="Tahoma"/>
            <family val="2"/>
          </rPr>
          <t>User flexibility</t>
        </r>
        <r>
          <rPr>
            <sz val="9"/>
            <color indexed="81"/>
            <rFont val="Tahoma"/>
            <family val="2"/>
          </rPr>
          <t xml:space="preserve">: The naming conventions, set definitions, and dimension structure are fully customizable by the user. However, modifying or adding to additional dimensions (capacityunit, sector, service, subsector, techgroup) requires GAMS programming skills, as changes must be reflected in the timesreport.gms code.
</t>
        </r>
        <r>
          <rPr>
            <b/>
            <sz val="9"/>
            <color indexed="81"/>
            <rFont val="Tahoma"/>
            <family val="2"/>
          </rPr>
          <t xml:space="preserve">
After adding a new process set you need to run the VBA code (CopyDataToWorkbooks) using the bottom to the right in order to update information on timesreport proces set in Scen_Z_TIMESReport.xlsx. 
</t>
        </r>
      </text>
    </comment>
  </commentList>
</comments>
</file>

<file path=xl/sharedStrings.xml><?xml version="1.0" encoding="utf-8"?>
<sst xmlns="http://schemas.openxmlformats.org/spreadsheetml/2006/main" count="1083" uniqueCount="263">
  <si>
    <t>~TFM_Psets</t>
  </si>
  <si>
    <t>PSET_SET</t>
  </si>
  <si>
    <t>PSET_PN</t>
  </si>
  <si>
    <t>PSET_PD</t>
  </si>
  <si>
    <t>PSET_CI</t>
  </si>
  <si>
    <t>PSET_CO</t>
  </si>
  <si>
    <t>SetName</t>
  </si>
  <si>
    <t>SetDesc</t>
  </si>
  <si>
    <t>T_Pos_AndOr</t>
  </si>
  <si>
    <t>T_Neg_AndOr</t>
  </si>
  <si>
    <t>Comment</t>
  </si>
  <si>
    <t>IMP*Z</t>
  </si>
  <si>
    <t>DUMIMP</t>
  </si>
  <si>
    <t>AND</t>
  </si>
  <si>
    <t>ELE</t>
  </si>
  <si>
    <t>*COA</t>
  </si>
  <si>
    <t>ECOA</t>
  </si>
  <si>
    <t>ELCBIO</t>
  </si>
  <si>
    <t>ELEBIO</t>
  </si>
  <si>
    <t>*COA*</t>
  </si>
  <si>
    <t>ELECOA</t>
  </si>
  <si>
    <t>*GAS*</t>
  </si>
  <si>
    <t>ELEGAS</t>
  </si>
  <si>
    <t>ELCHYD</t>
  </si>
  <si>
    <t>ELEHYD</t>
  </si>
  <si>
    <t>*NUC*</t>
  </si>
  <si>
    <t>ELENUC</t>
  </si>
  <si>
    <t>*OIL*</t>
  </si>
  <si>
    <t>ELEOIL</t>
  </si>
  <si>
    <t>*RNW*</t>
  </si>
  <si>
    <t>ELERNW</t>
  </si>
  <si>
    <t>ELCSOL</t>
  </si>
  <si>
    <t>ELESOL</t>
  </si>
  <si>
    <t>ELCWIN</t>
  </si>
  <si>
    <t>ELEWIN</t>
  </si>
  <si>
    <t>EXP*</t>
  </si>
  <si>
    <t>EXP</t>
  </si>
  <si>
    <t>PRE</t>
  </si>
  <si>
    <t>AGR*</t>
  </si>
  <si>
    <t>FUEL_AGR</t>
  </si>
  <si>
    <t>COM*</t>
  </si>
  <si>
    <t>FUEL_COM</t>
  </si>
  <si>
    <t>IND*</t>
  </si>
  <si>
    <t>FUEL_IND</t>
  </si>
  <si>
    <t>RSD*</t>
  </si>
  <si>
    <t>FUEL_RSD</t>
  </si>
  <si>
    <t>TRA*</t>
  </si>
  <si>
    <t>FUEL_TRA</t>
  </si>
  <si>
    <t>FT*</t>
  </si>
  <si>
    <t>FUELTECH</t>
  </si>
  <si>
    <t>IMP*</t>
  </si>
  <si>
    <t>IMP</t>
  </si>
  <si>
    <t>IRE</t>
  </si>
  <si>
    <t>MIN*</t>
  </si>
  <si>
    <t>MIN</t>
  </si>
  <si>
    <t>*COA*,*GAS*,*NGA*,*OIL*</t>
  </si>
  <si>
    <t>PP_FOSSIL</t>
  </si>
  <si>
    <t>*NUC</t>
  </si>
  <si>
    <t>PP_NUCLEAR</t>
  </si>
  <si>
    <t>ELE,-PP_FOSSIL,-PP_NUCLEAR,-PP_RENEW</t>
  </si>
  <si>
    <t>*</t>
  </si>
  <si>
    <t>PP_OTHER</t>
  </si>
  <si>
    <t>*RNW,*WIN,*SOL,*BIO,*HYD</t>
  </si>
  <si>
    <t>PP_RENEW</t>
  </si>
  <si>
    <t>ELCTEGAS00,ELCTEOIL00,ELCTECOA00</t>
  </si>
  <si>
    <t>PPFOSSIL</t>
  </si>
  <si>
    <t>T*</t>
  </si>
  <si>
    <t>TRD_ENDO</t>
  </si>
  <si>
    <t>~TFM_Csets</t>
  </si>
  <si>
    <t>CSET_SET</t>
  </si>
  <si>
    <t>CSET_CN</t>
  </si>
  <si>
    <t>CSET_CD</t>
  </si>
  <si>
    <t>*ELC*</t>
  </si>
  <si>
    <t>,-*PLANTS*</t>
  </si>
  <si>
    <t>NRG_ELC</t>
  </si>
  <si>
    <t>NRG_GAS</t>
  </si>
  <si>
    <t>NRG,-NRG_ELC,-NRG_GAS,-NRG_NUK,-NRG_PP,-NRG_RNW,-NRG_SOLID</t>
  </si>
  <si>
    <t>NRG_MISS</t>
  </si>
  <si>
    <t>NRG_NUK</t>
  </si>
  <si>
    <t>*OIL*,*DSL*,*LPG*,*GSL*,*KER*,*OPP*,*HFO*,*NAP*</t>
  </si>
  <si>
    <t>NRG_PP</t>
  </si>
  <si>
    <t>*BIO*,*SOL*,*WIN*,*RNW*,*HYD*,-*SOLID*,-ELCRNW,-RNW</t>
  </si>
  <si>
    <t>NRG_RNW</t>
  </si>
  <si>
    <t>*SOLID*</t>
  </si>
  <si>
    <t>NRG_SOLID</t>
  </si>
  <si>
    <t>Mining technologies</t>
  </si>
  <si>
    <t>Trade technologies</t>
  </si>
  <si>
    <t>REF*</t>
  </si>
  <si>
    <t xml:space="preserve">Refinery </t>
  </si>
  <si>
    <t>A*</t>
  </si>
  <si>
    <t>Agriculture sector</t>
  </si>
  <si>
    <t>C*</t>
  </si>
  <si>
    <t>Residential sector</t>
  </si>
  <si>
    <t>Commercial sector</t>
  </si>
  <si>
    <t>Transport sector</t>
  </si>
  <si>
    <t>Electricity supply sector</t>
  </si>
  <si>
    <t>Industry sector</t>
  </si>
  <si>
    <t>T*,-TU*,-TB*</t>
  </si>
  <si>
    <t>Transmission of electricity and gas</t>
  </si>
  <si>
    <t>TU*,TB*</t>
  </si>
  <si>
    <t>I*,-IMP*</t>
  </si>
  <si>
    <t>R*,-REF*</t>
  </si>
  <si>
    <t>Default set in DemoModel</t>
  </si>
  <si>
    <t>ELC*</t>
  </si>
  <si>
    <t>Name</t>
  </si>
  <si>
    <t>Description</t>
  </si>
  <si>
    <t>TIMESReport</t>
  </si>
  <si>
    <t>sector</t>
  </si>
  <si>
    <t>service</t>
  </si>
  <si>
    <t>subsector</t>
  </si>
  <si>
    <t>techgroup</t>
  </si>
  <si>
    <t>comgroup</t>
  </si>
  <si>
    <t>Electricity</t>
  </si>
  <si>
    <t>Gas</t>
  </si>
  <si>
    <t>Nuclear</t>
  </si>
  <si>
    <t>Oil</t>
  </si>
  <si>
    <t>Renewable</t>
  </si>
  <si>
    <t>TFM_Csets</t>
  </si>
  <si>
    <t>DMD</t>
  </si>
  <si>
    <t>DIIS</t>
  </si>
  <si>
    <t>Appliances</t>
  </si>
  <si>
    <t>ITIISIN,ITIISIBF,ITIISBOF,IDMIIS</t>
  </si>
  <si>
    <t>Million ton a year</t>
  </si>
  <si>
    <t>EXP*,IMP*,-IMP*Z</t>
  </si>
  <si>
    <t>NRG</t>
  </si>
  <si>
    <t>NRG_OIL</t>
  </si>
  <si>
    <t>NRG_COA</t>
  </si>
  <si>
    <t>Coal</t>
  </si>
  <si>
    <t>capacityunit</t>
  </si>
  <si>
    <t>PJa</t>
  </si>
  <si>
    <t>PJ annually</t>
  </si>
  <si>
    <t>GW</t>
  </si>
  <si>
    <t>000_Units</t>
  </si>
  <si>
    <t>1000 units</t>
  </si>
  <si>
    <t>*ELC</t>
  </si>
  <si>
    <t>SS_ELE</t>
  </si>
  <si>
    <t>Power plants</t>
  </si>
  <si>
    <t>SS_CHP</t>
  </si>
  <si>
    <t>Combined heat and power plant</t>
  </si>
  <si>
    <t>SS_HPL</t>
  </si>
  <si>
    <t>Heating plant</t>
  </si>
  <si>
    <t>CHP</t>
  </si>
  <si>
    <t>HPL</t>
  </si>
  <si>
    <t>IISRST</t>
  </si>
  <si>
    <t>Industrial Steel</t>
  </si>
  <si>
    <t>IISIRO</t>
  </si>
  <si>
    <t>Industrial Iron</t>
  </si>
  <si>
    <t>Industrial Ore</t>
  </si>
  <si>
    <t>Industrial Sinter</t>
  </si>
  <si>
    <t>SS_IRO</t>
  </si>
  <si>
    <t>SS_STE</t>
  </si>
  <si>
    <t>SS_ORE</t>
  </si>
  <si>
    <t>SS_SIN</t>
  </si>
  <si>
    <t>IISSIN</t>
  </si>
  <si>
    <t>Industrial IronSteel Demand</t>
  </si>
  <si>
    <t>SS_OIL</t>
  </si>
  <si>
    <t>SS_COA</t>
  </si>
  <si>
    <t>SS_GAS</t>
  </si>
  <si>
    <t>SS_REW</t>
  </si>
  <si>
    <t>MINSOL*,MINWIN*,MINHYD*</t>
  </si>
  <si>
    <t>SS_BIO</t>
  </si>
  <si>
    <t>MINBIO*</t>
  </si>
  <si>
    <t>SS_OXY</t>
  </si>
  <si>
    <t>MININDOXY</t>
  </si>
  <si>
    <t>SS_NUC</t>
  </si>
  <si>
    <t>MINNUC*</t>
  </si>
  <si>
    <t>MINCOA*,IMPCOA*,EXPCOA*</t>
  </si>
  <si>
    <t>MINGAS*,IMPGAS*,EXPGAS*</t>
  </si>
  <si>
    <t>MINOIL*,IMPOIL*,IMPHFO*,IMPGSL*,IMPDSL*,IMPKER*,IMPLPG*,IMPNAP*, IMPPOP*,EXPOIL*,EXPHFO*,EXPGSL*,EXPDSL*,EXPKER*,EXPLPG*,EXPNAP*, EXPPOP*</t>
  </si>
  <si>
    <t>SS_ELC</t>
  </si>
  <si>
    <t>Electricity trade</t>
  </si>
  <si>
    <t>IMPELC*,EXPELC*</t>
  </si>
  <si>
    <t>SS_REF</t>
  </si>
  <si>
    <t>Oil refinary</t>
  </si>
  <si>
    <t>REFEOIL00</t>
  </si>
  <si>
    <t>SS_AGR</t>
  </si>
  <si>
    <t>Agriculture</t>
  </si>
  <si>
    <t>AOTETOT</t>
  </si>
  <si>
    <t>SS_COM</t>
  </si>
  <si>
    <t>Commercial</t>
  </si>
  <si>
    <t>Other demands</t>
  </si>
  <si>
    <t>Room heat</t>
  </si>
  <si>
    <t>Agricultural demand</t>
  </si>
  <si>
    <t>CA*,RA*</t>
  </si>
  <si>
    <t>CO*,RO*</t>
  </si>
  <si>
    <t>CS*,RS*</t>
  </si>
  <si>
    <t>SS_RES</t>
  </si>
  <si>
    <t>Residential</t>
  </si>
  <si>
    <t>SS_TRC</t>
  </si>
  <si>
    <t>Cars</t>
  </si>
  <si>
    <t>SS_TRP</t>
  </si>
  <si>
    <t>Public transport</t>
  </si>
  <si>
    <t>Private transport</t>
  </si>
  <si>
    <t>SS_TRMG</t>
  </si>
  <si>
    <t>SS_TRME</t>
  </si>
  <si>
    <t>Gas transmission</t>
  </si>
  <si>
    <t>Electricity transmission</t>
  </si>
  <si>
    <t>TB_ELC*</t>
  </si>
  <si>
    <t>TU_GAS*</t>
  </si>
  <si>
    <t>Oil supply</t>
  </si>
  <si>
    <t>Coal supply</t>
  </si>
  <si>
    <t>Natural gas supply</t>
  </si>
  <si>
    <t>Renewable energy supply</t>
  </si>
  <si>
    <t>Domestic biomass supply</t>
  </si>
  <si>
    <t xml:space="preserve">Oxygen supply </t>
  </si>
  <si>
    <t>Mining nuclear fuel supply</t>
  </si>
  <si>
    <t>TP*</t>
  </si>
  <si>
    <t>TC*</t>
  </si>
  <si>
    <t>TG_OIL</t>
  </si>
  <si>
    <t>TG_BIO</t>
  </si>
  <si>
    <t>TG_NUC</t>
  </si>
  <si>
    <t>TG_REW</t>
  </si>
  <si>
    <t>TG_ELC</t>
  </si>
  <si>
    <t>TG_GAS</t>
  </si>
  <si>
    <t>*BIO*,</t>
  </si>
  <si>
    <t>*NUC*,</t>
  </si>
  <si>
    <t>*SOL*,*WIN*,*HYD*</t>
  </si>
  <si>
    <t>*OIL*,*HFO*,*GSL*,*DSL*,*KER*,*LPG*,*NAP*,*POP*</t>
  </si>
  <si>
    <t>Biomass</t>
  </si>
  <si>
    <t>SC_TRM</t>
  </si>
  <si>
    <t>SC_TRD</t>
  </si>
  <si>
    <t>SC_TRA</t>
  </si>
  <si>
    <t>SC_RES</t>
  </si>
  <si>
    <t>SC_REF</t>
  </si>
  <si>
    <t>SC_MIN</t>
  </si>
  <si>
    <t>SC_IND</t>
  </si>
  <si>
    <t>SC_ELE</t>
  </si>
  <si>
    <t>SC_COM</t>
  </si>
  <si>
    <t>SC_AGR</t>
  </si>
  <si>
    <t>SR_AGR</t>
  </si>
  <si>
    <t>SR_APP</t>
  </si>
  <si>
    <t>SR_OTH</t>
  </si>
  <si>
    <t>SR_RHT</t>
  </si>
  <si>
    <t>SR_TRC</t>
  </si>
  <si>
    <t>SR_TRP</t>
  </si>
  <si>
    <t>TG_COA</t>
  </si>
  <si>
    <t xml:space="preserve">Coal </t>
  </si>
  <si>
    <t>NRG_BIO</t>
  </si>
  <si>
    <t>R*,-REFEOIL00</t>
  </si>
  <si>
    <t>Mta</t>
  </si>
  <si>
    <t>SR_IRS</t>
  </si>
  <si>
    <t>IISORE,MINIISORE</t>
  </si>
  <si>
    <t>*SOL*,*WIN*,*RNW*,*HYD*,-*SOLID*,-ELCRNW,-RNW</t>
  </si>
  <si>
    <t>*BIO*,*BIO</t>
  </si>
  <si>
    <t>ENV_CO2</t>
  </si>
  <si>
    <t>ENV</t>
  </si>
  <si>
    <t>*CO2</t>
  </si>
  <si>
    <t>IDM1ETOT</t>
  </si>
  <si>
    <t>SS_IND</t>
  </si>
  <si>
    <t>Industry other</t>
  </si>
  <si>
    <t>SR_IND</t>
  </si>
  <si>
    <t>TG_DMD</t>
  </si>
  <si>
    <t>Demand Technology</t>
  </si>
  <si>
    <t>AOTETOT, IDM1ETOT</t>
  </si>
  <si>
    <t>DEM_COM</t>
  </si>
  <si>
    <t>Demand commodity</t>
  </si>
  <si>
    <t>DEM</t>
  </si>
  <si>
    <t>GHG-emission</t>
  </si>
  <si>
    <t>IDMIIS</t>
  </si>
  <si>
    <t>DCOT,DCSH,DAOT,DCAP,DIDM1,DRAP,DROT,DRSH,DTCAR,DTPUB,DIIS</t>
  </si>
  <si>
    <t>Industry Demand</t>
  </si>
  <si>
    <t>ELC*,CSH*,RSH*</t>
  </si>
  <si>
    <t>RAP*,ROT*,CAP*,COT*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</si>
</sst>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Te\x\t"/>
    <numFmt numFmtId="165" formatCode="_([$€]* #,##0.00_);_([$€]* \(#,##0.00\);_([$€]* &quot;-&quot;??_);_(@_)"/>
  </numFmts>
  <fonts count="12"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name val="Courier"/>
      <family val="3"/>
    </font>
    <font>
      <sz val="9"/>
      <color indexed="8"/>
      <name val="Times New Roman"/>
      <family val="1"/>
    </font>
    <font>
      <sz val="9"/>
      <name val="Times New Roman"/>
      <family val="1"/>
    </font>
    <font>
      <b/>
      <sz val="9"/>
      <name val="Times New Roman"/>
      <family val="1"/>
    </font>
    <font>
      <sz val="10"/>
      <name val="Arial"/>
      <family val="2"/>
    </font>
    <font>
      <sz val="9"/>
      <color indexed="81"/>
      <name val="Tahoma"/>
      <family val="2"/>
    </font>
    <font>
      <b/>
      <sz val="9"/>
      <color indexed="81"/>
      <name val="Tahoma"/>
      <family val="2"/>
    </font>
    <font>
      <sz val="24"/>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indexed="47"/>
        <bgColor indexed="64"/>
      </patternFill>
    </fill>
    <fill>
      <patternFill patternType="solid">
        <fgColor indexed="55"/>
        <bgColor indexed="64"/>
      </patternFill>
    </fill>
  </fills>
  <borders count="3">
    <border>
      <left/>
      <right/>
      <top/>
      <bottom/>
      <diagonal/>
    </border>
    <border>
      <left style="thin">
        <color auto="1"/>
      </left>
      <right style="thin">
        <color auto="1"/>
      </right>
      <top style="thin">
        <color auto="1"/>
      </top>
      <bottom style="thin">
        <color auto="1"/>
      </bottom>
      <diagonal/>
    </border>
    <border>
      <left style="medium">
        <color auto="1"/>
      </left>
      <right/>
      <top style="thin">
        <color auto="1"/>
      </top>
      <bottom style="thin">
        <color auto="1"/>
      </bottom>
      <diagonal/>
    </border>
  </borders>
  <cellStyleXfs count="31">
    <xf numFmtId="0" fontId="0" fillId="0" borderId="0"/>
    <xf numFmtId="0" fontId="1" fillId="0" borderId="0"/>
    <xf numFmtId="0" fontId="3" fillId="0" borderId="0" applyNumberFormat="0" applyFont="0" applyFill="0" applyBorder="0" applyProtection="0">
      <alignment horizontal="left" vertical="center" indent="5"/>
    </xf>
    <xf numFmtId="4" fontId="5" fillId="4" borderId="1">
      <alignment horizontal="right" vertical="center"/>
    </xf>
    <xf numFmtId="4" fontId="5" fillId="4" borderId="1">
      <alignment horizontal="right" vertical="center"/>
    </xf>
    <xf numFmtId="0" fontId="6" fillId="0" borderId="2">
      <alignment horizontal="left" vertical="center" wrapText="1" indent="2"/>
    </xf>
    <xf numFmtId="165" fontId="3" fillId="0" borderId="0" applyFont="0" applyFill="0" applyBorder="0" applyAlignment="0" applyProtection="0"/>
    <xf numFmtId="4" fontId="6" fillId="0" borderId="0" applyBorder="0">
      <alignment horizontal="right" vertical="center"/>
    </xf>
    <xf numFmtId="0" fontId="3" fillId="0" borderId="0"/>
    <xf numFmtId="0" fontId="3" fillId="0" borderId="0"/>
    <xf numFmtId="0" fontId="1" fillId="0" borderId="0"/>
    <xf numFmtId="0" fontId="3" fillId="0" borderId="0"/>
    <xf numFmtId="4" fontId="6" fillId="0" borderId="1" applyFill="0" applyBorder="0" applyProtection="0">
      <alignment horizontal="right" vertical="center"/>
    </xf>
    <xf numFmtId="0" fontId="7" fillId="0" borderId="0" applyNumberFormat="0" applyFill="0" applyBorder="0" applyProtection="0">
      <alignment horizontal="left" vertical="center"/>
    </xf>
    <xf numFmtId="0" fontId="3" fillId="5" borderId="0" applyNumberFormat="0" applyFont="0" applyBorder="0" applyAlignment="0" applyProtection="0"/>
    <xf numFmtId="0" fontId="4" fillId="0" borderId="0"/>
    <xf numFmtId="9" fontId="3" fillId="0" borderId="0" applyFont="0" applyFill="0" applyBorder="0" applyAlignment="0" applyProtection="0"/>
    <xf numFmtId="0" fontId="3" fillId="0" borderId="0"/>
    <xf numFmtId="4" fontId="6" fillId="0" borderId="0"/>
    <xf numFmtId="0" fontId="3" fillId="0" borderId="0"/>
    <xf numFmtId="0" fontId="3" fillId="0" borderId="0"/>
    <xf numFmtId="43" fontId="3" fillId="0" borderId="0" applyFont="0" applyFill="0" applyBorder="0" applyAlignment="0" applyProtection="0"/>
    <xf numFmtId="0" fontId="3"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
    <xf numFmtId="0" fontId="0" fillId="0" borderId="0" xfId="0"/>
    <xf numFmtId="0" fontId="0" fillId="2" borderId="0" xfId="0" applyFill="1"/>
    <xf numFmtId="0" fontId="0" fillId="3" borderId="0" xfId="0" applyFill="1"/>
    <xf numFmtId="0" fontId="2" fillId="2" borderId="0" xfId="0" applyFont="1" applyFill="1"/>
    <xf numFmtId="164" fontId="0" fillId="0" borderId="0" xfId="0" quotePrefix="1" applyNumberFormat="1"/>
    <xf numFmtId="0" fontId="0" fillId="0" borderId="0" xfId="0" applyAlignment="1">
      <alignment vertical="center" wrapText="1"/>
    </xf>
    <xf numFmtId="0" fontId="8" fillId="0" borderId="0" xfId="23"/>
    <xf numFmtId="0" fontId="2" fillId="0" borderId="0" xfId="0" applyFont="1"/>
  </cellXfs>
  <cellStyles count="31">
    <cellStyle name="5x indented GHG Textfiels" xfId="2" xr:uid="{0FB2083B-5C34-47A0-BE95-276FE0B9770C}"/>
    <cellStyle name="AggOrange_CRFReport-template" xfId="3" xr:uid="{164EDF9C-1345-4285-A590-72E92C418028}"/>
    <cellStyle name="AggOrange9_CRFReport-template" xfId="4" xr:uid="{7A2E8B0B-A172-405E-B655-610DAC318C60}"/>
    <cellStyle name="CustomizationCells" xfId="5" xr:uid="{2B02F197-BB62-4282-A0FB-67B255CB7871}"/>
    <cellStyle name="Euro" xfId="6" xr:uid="{5ABD2E6B-4F5B-4FE2-9054-9798B0268F88}"/>
    <cellStyle name="InputCells" xfId="7" xr:uid="{59D2DDF5-E990-4D73-8279-FF490C763849}"/>
    <cellStyle name="Migliaia_tab emissioni" xfId="21" xr:uid="{C9AFF767-3C09-4056-A5C6-5EFD71374C05}"/>
    <cellStyle name="Normal" xfId="0" builtinId="0"/>
    <cellStyle name="Normal 10" xfId="8" xr:uid="{B22C9995-6E64-4E7A-9C93-5C8C36FC0748}"/>
    <cellStyle name="Normal 10 2" xfId="19" xr:uid="{3A68CEB6-B267-43CD-A80A-69D8322BAE37}"/>
    <cellStyle name="Normal 11" xfId="28" xr:uid="{F97EA0D5-487D-4116-9607-3BEB1CA32B6E}"/>
    <cellStyle name="Normal 12" xfId="23" xr:uid="{8D2A0BBA-0528-4397-900B-6D96E199F205}"/>
    <cellStyle name="Normal 2" xfId="9" xr:uid="{62134BF4-8887-4886-9159-C353664C4E93}"/>
    <cellStyle name="Normal 3" xfId="10" xr:uid="{5AA0F7C3-3582-4C87-B283-9B7D69484195}"/>
    <cellStyle name="Normal 3 2" xfId="27" xr:uid="{6FFD48F4-2248-436D-BAC1-2BF3AFDD0324}"/>
    <cellStyle name="Normal 3 3" xfId="30" xr:uid="{AAB53E4D-39CB-4C21-A670-E7A674143D64}"/>
    <cellStyle name="Normal 4" xfId="11" xr:uid="{9B67B6A7-5EA3-456B-A559-EA7CFC7CA5CF}"/>
    <cellStyle name="Normal 5" xfId="1" xr:uid="{B387DD4F-F719-4379-A4FC-680701E911D2}"/>
    <cellStyle name="Normal 5 2" xfId="26" xr:uid="{EC443464-2DF2-477D-919C-92F1557FA9FE}"/>
    <cellStyle name="Normal 5 3" xfId="29" xr:uid="{2264DF01-97E2-4FE1-9793-C831AF5424A3}"/>
    <cellStyle name="Normal 6" xfId="20" xr:uid="{766BC6C5-346A-4CAC-91AF-BBFE8FFB071A}"/>
    <cellStyle name="Normal 7" xfId="22" xr:uid="{88CD0106-675A-4B14-8A3E-2F4148FD9714}"/>
    <cellStyle name="Normal 8" xfId="24" xr:uid="{60A7F545-E99D-47AE-A99D-604B7A192563}"/>
    <cellStyle name="Normal 9" xfId="25" xr:uid="{53D6706E-923C-4BB5-AE55-716FD874A845}"/>
    <cellStyle name="Normal GHG Numbers (0.00)" xfId="12" xr:uid="{7D199897-9DCA-41DD-A62F-5B1B459715F7}"/>
    <cellStyle name="Normal GHG Textfiels Bold" xfId="13" xr:uid="{517FA2F6-00A8-4B2F-93B3-CB1F2E12BB06}"/>
    <cellStyle name="Normal GHG-Shade" xfId="14" xr:uid="{20EC4AB8-9C1E-4B72-8CA6-6F9027FB5200}"/>
    <cellStyle name="Normale_B2020" xfId="15" xr:uid="{F175AF03-F959-40DB-AB54-7CD7D2C0050D}"/>
    <cellStyle name="Percent 2" xfId="16" xr:uid="{4BB3658D-C2B8-47C8-A102-E0EF5481323E}"/>
    <cellStyle name="Standard_Sce_D_Extraction" xfId="17" xr:uid="{99EEC642-FF20-4538-9E84-4B4FC758D80D}"/>
    <cellStyle name="Обычный_CRF2002 (1)" xfId="18" xr:uid="{0AD22835-B9E3-4CD8-BFAD-DA6B7F27324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353786</xdr:colOff>
          <xdr:row>1</xdr:row>
          <xdr:rowOff>125186</xdr:rowOff>
        </xdr:from>
        <xdr:to>
          <xdr:col>21</xdr:col>
          <xdr:colOff>468086</xdr:colOff>
          <xdr:row>11</xdr:row>
          <xdr:rowOff>5443</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DK" sz="2400" b="0" i="0" u="none" strike="noStrike" baseline="0">
                  <a:solidFill>
                    <a:srgbClr val="000000"/>
                  </a:solidFill>
                  <a:latin typeface="Calibri"/>
                  <a:ea typeface="Calibri"/>
                  <a:cs typeface="Calibri"/>
                </a:rPr>
                <a:t>Update Syssettings.xlsx and Scen_Z_TIMESreport.xlsx with latest commodity and process sets definitions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201386</xdr:colOff>
          <xdr:row>2</xdr:row>
          <xdr:rowOff>136071</xdr:rowOff>
        </xdr:from>
        <xdr:to>
          <xdr:col>20</xdr:col>
          <xdr:colOff>21771</xdr:colOff>
          <xdr:row>12</xdr:row>
          <xdr:rowOff>21771</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DK" sz="2400" b="0" i="0" u="none" strike="noStrike" baseline="0">
                  <a:solidFill>
                    <a:srgbClr val="000000"/>
                  </a:solidFill>
                  <a:latin typeface="Calibri"/>
                  <a:ea typeface="Calibri"/>
                  <a:cs typeface="Calibri"/>
                </a:rPr>
                <a:t>Update Syssettings.xlsx and Scen_Z_TIMESreport.xlsx with latest commodity and process sets definitions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03DB1-DD55-4548-B86E-1F92E13CF8ED}">
  <sheetPr codeName="Sheet1"/>
  <dimension ref="A1:H9"/>
  <sheetViews>
    <sheetView workbookViewId="0"/>
  </sheetViews>
  <sheetFormatPr defaultRowHeight="14.6" x14ac:dyDescent="0.4"/>
  <cols>
    <col min="1" max="1" width="65.84375" bestFit="1" customWidth="1"/>
    <col min="2" max="2" width="56" bestFit="1" customWidth="1"/>
    <col min="3" max="4" width="11" bestFit="1" customWidth="1"/>
    <col min="5" max="5" width="8" bestFit="1" customWidth="1"/>
    <col min="6" max="6" width="12.84375" bestFit="1" customWidth="1"/>
    <col min="7" max="7" width="13.3828125" bestFit="1" customWidth="1"/>
    <col min="8" max="8" width="9.69140625" bestFit="1" customWidth="1"/>
  </cols>
  <sheetData>
    <row r="1" spans="1:8" x14ac:dyDescent="0.4">
      <c r="A1" t="s">
        <v>117</v>
      </c>
    </row>
    <row r="2" spans="1:8" x14ac:dyDescent="0.4">
      <c r="A2" t="s">
        <v>69</v>
      </c>
      <c r="B2" t="s">
        <v>70</v>
      </c>
      <c r="C2" t="s">
        <v>71</v>
      </c>
      <c r="D2" t="s">
        <v>6</v>
      </c>
      <c r="E2" t="s">
        <v>7</v>
      </c>
      <c r="F2" t="s">
        <v>8</v>
      </c>
      <c r="G2" t="s">
        <v>9</v>
      </c>
      <c r="H2" t="s">
        <v>10</v>
      </c>
    </row>
    <row r="3" spans="1:8" x14ac:dyDescent="0.4">
      <c r="B3" t="s">
        <v>72</v>
      </c>
      <c r="C3" t="s">
        <v>73</v>
      </c>
      <c r="D3" t="s">
        <v>74</v>
      </c>
      <c r="F3" t="s">
        <v>13</v>
      </c>
      <c r="G3" t="s">
        <v>13</v>
      </c>
    </row>
    <row r="4" spans="1:8" x14ac:dyDescent="0.4">
      <c r="B4" t="s">
        <v>21</v>
      </c>
      <c r="D4" t="s">
        <v>75</v>
      </c>
      <c r="F4" t="s">
        <v>13</v>
      </c>
      <c r="G4" t="s">
        <v>13</v>
      </c>
    </row>
    <row r="5" spans="1:8" x14ac:dyDescent="0.4">
      <c r="A5" t="s">
        <v>76</v>
      </c>
      <c r="B5" t="s">
        <v>60</v>
      </c>
      <c r="D5" t="s">
        <v>77</v>
      </c>
      <c r="F5" t="s">
        <v>13</v>
      </c>
      <c r="G5" t="s">
        <v>13</v>
      </c>
    </row>
    <row r="6" spans="1:8" x14ac:dyDescent="0.4">
      <c r="B6" t="s">
        <v>25</v>
      </c>
      <c r="D6" t="s">
        <v>78</v>
      </c>
      <c r="F6" t="s">
        <v>13</v>
      </c>
      <c r="G6" t="s">
        <v>13</v>
      </c>
    </row>
    <row r="7" spans="1:8" x14ac:dyDescent="0.4">
      <c r="B7" t="s">
        <v>79</v>
      </c>
      <c r="D7" t="s">
        <v>80</v>
      </c>
      <c r="F7" t="s">
        <v>13</v>
      </c>
      <c r="G7" t="s">
        <v>13</v>
      </c>
    </row>
    <row r="8" spans="1:8" x14ac:dyDescent="0.4">
      <c r="B8" t="s">
        <v>81</v>
      </c>
      <c r="D8" t="s">
        <v>82</v>
      </c>
      <c r="F8" t="s">
        <v>13</v>
      </c>
      <c r="G8" t="s">
        <v>13</v>
      </c>
    </row>
    <row r="9" spans="1:8" x14ac:dyDescent="0.4">
      <c r="C9" t="s">
        <v>83</v>
      </c>
      <c r="D9" t="s">
        <v>84</v>
      </c>
      <c r="F9" t="s">
        <v>13</v>
      </c>
      <c r="G9" t="s">
        <v>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336B7-5D6A-48EE-B122-F085391548AD}">
  <sheetPr codeName="Sheet2"/>
  <dimension ref="A1:J106"/>
  <sheetViews>
    <sheetView workbookViewId="0">
      <selection activeCell="M22" sqref="M22"/>
    </sheetView>
  </sheetViews>
  <sheetFormatPr defaultRowHeight="14.6" x14ac:dyDescent="0.4"/>
  <cols>
    <col min="6" max="6" width="16.69140625" bestFit="1" customWidth="1"/>
    <col min="10" max="10" width="30.84375" bestFit="1" customWidth="1"/>
  </cols>
  <sheetData>
    <row r="1" spans="1:10" x14ac:dyDescent="0.4">
      <c r="A1" t="s">
        <v>0</v>
      </c>
    </row>
    <row r="2" spans="1:10" x14ac:dyDescent="0.4">
      <c r="A2" t="s">
        <v>1</v>
      </c>
      <c r="B2" t="s">
        <v>2</v>
      </c>
      <c r="C2" t="s">
        <v>3</v>
      </c>
      <c r="D2" t="s">
        <v>4</v>
      </c>
      <c r="E2" t="s">
        <v>5</v>
      </c>
      <c r="F2" t="s">
        <v>6</v>
      </c>
      <c r="G2" t="s">
        <v>7</v>
      </c>
      <c r="H2" t="s">
        <v>8</v>
      </c>
      <c r="I2" t="s">
        <v>9</v>
      </c>
      <c r="J2" t="s">
        <v>10</v>
      </c>
    </row>
    <row r="3" spans="1:10" x14ac:dyDescent="0.4">
      <c r="A3" s="2"/>
      <c r="B3" s="2" t="s">
        <v>11</v>
      </c>
      <c r="C3" s="2"/>
      <c r="D3" s="2"/>
      <c r="E3" s="2"/>
      <c r="F3" s="2" t="s">
        <v>12</v>
      </c>
      <c r="G3" s="2"/>
      <c r="H3" s="2" t="s">
        <v>13</v>
      </c>
      <c r="I3" s="2" t="s">
        <v>13</v>
      </c>
      <c r="J3" s="2" t="s">
        <v>102</v>
      </c>
    </row>
    <row r="4" spans="1:10" x14ac:dyDescent="0.4">
      <c r="A4" s="2" t="s">
        <v>14</v>
      </c>
      <c r="B4" s="2"/>
      <c r="C4" s="2"/>
      <c r="D4" s="2" t="s">
        <v>15</v>
      </c>
      <c r="E4" s="2"/>
      <c r="F4" s="2" t="s">
        <v>16</v>
      </c>
      <c r="G4" s="2"/>
      <c r="H4" s="2" t="s">
        <v>13</v>
      </c>
      <c r="I4" s="2" t="s">
        <v>13</v>
      </c>
      <c r="J4" s="2" t="s">
        <v>102</v>
      </c>
    </row>
    <row r="5" spans="1:10" x14ac:dyDescent="0.4">
      <c r="A5" s="2" t="s">
        <v>14</v>
      </c>
      <c r="B5" s="2"/>
      <c r="C5" s="2"/>
      <c r="D5" s="2" t="s">
        <v>17</v>
      </c>
      <c r="E5" s="2"/>
      <c r="F5" s="2" t="s">
        <v>18</v>
      </c>
      <c r="G5" s="2"/>
      <c r="H5" s="2" t="s">
        <v>13</v>
      </c>
      <c r="I5" s="2" t="s">
        <v>13</v>
      </c>
      <c r="J5" s="2" t="s">
        <v>102</v>
      </c>
    </row>
    <row r="6" spans="1:10" x14ac:dyDescent="0.4">
      <c r="A6" s="2" t="s">
        <v>14</v>
      </c>
      <c r="B6" s="2"/>
      <c r="C6" s="2"/>
      <c r="D6" s="2" t="s">
        <v>19</v>
      </c>
      <c r="E6" s="2"/>
      <c r="F6" s="2" t="s">
        <v>20</v>
      </c>
      <c r="G6" s="2"/>
      <c r="H6" s="2" t="s">
        <v>13</v>
      </c>
      <c r="I6" s="2" t="s">
        <v>13</v>
      </c>
      <c r="J6" s="2" t="s">
        <v>102</v>
      </c>
    </row>
    <row r="7" spans="1:10" x14ac:dyDescent="0.4">
      <c r="A7" s="2" t="s">
        <v>14</v>
      </c>
      <c r="B7" s="2"/>
      <c r="C7" s="2"/>
      <c r="D7" s="2" t="s">
        <v>21</v>
      </c>
      <c r="E7" s="2"/>
      <c r="F7" s="2" t="s">
        <v>22</v>
      </c>
      <c r="G7" s="2"/>
      <c r="H7" s="2" t="s">
        <v>13</v>
      </c>
      <c r="I7" s="2" t="s">
        <v>13</v>
      </c>
      <c r="J7" s="2" t="s">
        <v>102</v>
      </c>
    </row>
    <row r="8" spans="1:10" x14ac:dyDescent="0.4">
      <c r="A8" s="2" t="s">
        <v>14</v>
      </c>
      <c r="B8" s="2"/>
      <c r="C8" s="2"/>
      <c r="D8" s="2" t="s">
        <v>23</v>
      </c>
      <c r="E8" s="2"/>
      <c r="F8" s="2" t="s">
        <v>24</v>
      </c>
      <c r="G8" s="2"/>
      <c r="H8" s="2" t="s">
        <v>13</v>
      </c>
      <c r="I8" s="2" t="s">
        <v>13</v>
      </c>
      <c r="J8" s="2" t="s">
        <v>102</v>
      </c>
    </row>
    <row r="9" spans="1:10" x14ac:dyDescent="0.4">
      <c r="A9" s="2" t="s">
        <v>14</v>
      </c>
      <c r="B9" s="2"/>
      <c r="C9" s="2"/>
      <c r="D9" s="2" t="s">
        <v>25</v>
      </c>
      <c r="E9" s="2"/>
      <c r="F9" s="2" t="s">
        <v>26</v>
      </c>
      <c r="G9" s="2"/>
      <c r="H9" s="2" t="s">
        <v>13</v>
      </c>
      <c r="I9" s="2" t="s">
        <v>13</v>
      </c>
      <c r="J9" s="2" t="s">
        <v>102</v>
      </c>
    </row>
    <row r="10" spans="1:10" x14ac:dyDescent="0.4">
      <c r="A10" s="2" t="s">
        <v>14</v>
      </c>
      <c r="B10" s="2"/>
      <c r="C10" s="2"/>
      <c r="D10" s="2" t="s">
        <v>27</v>
      </c>
      <c r="E10" s="2"/>
      <c r="F10" s="2" t="s">
        <v>28</v>
      </c>
      <c r="G10" s="2"/>
      <c r="H10" s="2" t="s">
        <v>13</v>
      </c>
      <c r="I10" s="2" t="s">
        <v>13</v>
      </c>
      <c r="J10" s="2" t="s">
        <v>102</v>
      </c>
    </row>
    <row r="11" spans="1:10" x14ac:dyDescent="0.4">
      <c r="A11" s="2" t="s">
        <v>14</v>
      </c>
      <c r="B11" s="2"/>
      <c r="C11" s="2"/>
      <c r="D11" s="2" t="s">
        <v>29</v>
      </c>
      <c r="E11" s="2"/>
      <c r="F11" s="2" t="s">
        <v>30</v>
      </c>
      <c r="G11" s="2"/>
      <c r="H11" s="2" t="s">
        <v>13</v>
      </c>
      <c r="I11" s="2" t="s">
        <v>13</v>
      </c>
      <c r="J11" s="2" t="s">
        <v>102</v>
      </c>
    </row>
    <row r="12" spans="1:10" x14ac:dyDescent="0.4">
      <c r="A12" s="2" t="s">
        <v>14</v>
      </c>
      <c r="B12" s="2"/>
      <c r="C12" s="2"/>
      <c r="D12" s="2" t="s">
        <v>31</v>
      </c>
      <c r="E12" s="2"/>
      <c r="F12" s="2" t="s">
        <v>32</v>
      </c>
      <c r="G12" s="2"/>
      <c r="H12" s="2" t="s">
        <v>13</v>
      </c>
      <c r="I12" s="2" t="s">
        <v>13</v>
      </c>
      <c r="J12" s="2" t="s">
        <v>102</v>
      </c>
    </row>
    <row r="13" spans="1:10" x14ac:dyDescent="0.4">
      <c r="A13" s="2" t="s">
        <v>14</v>
      </c>
      <c r="B13" s="2"/>
      <c r="C13" s="2"/>
      <c r="D13" s="2" t="s">
        <v>33</v>
      </c>
      <c r="E13" s="2"/>
      <c r="F13" s="2" t="s">
        <v>34</v>
      </c>
      <c r="G13" s="2"/>
      <c r="H13" s="2" t="s">
        <v>13</v>
      </c>
      <c r="I13" s="2" t="s">
        <v>13</v>
      </c>
      <c r="J13" s="2" t="s">
        <v>102</v>
      </c>
    </row>
    <row r="14" spans="1:10" x14ac:dyDescent="0.4">
      <c r="A14" s="2"/>
      <c r="B14" s="2" t="s">
        <v>35</v>
      </c>
      <c r="C14" s="2"/>
      <c r="D14" s="2"/>
      <c r="E14" s="2"/>
      <c r="F14" s="2" t="s">
        <v>36</v>
      </c>
      <c r="G14" s="2"/>
      <c r="H14" s="2" t="s">
        <v>13</v>
      </c>
      <c r="I14" s="2" t="s">
        <v>13</v>
      </c>
      <c r="J14" s="2" t="s">
        <v>102</v>
      </c>
    </row>
    <row r="15" spans="1:10" x14ac:dyDescent="0.4">
      <c r="A15" s="2" t="s">
        <v>37</v>
      </c>
      <c r="B15" s="2"/>
      <c r="C15" s="2"/>
      <c r="D15" s="2"/>
      <c r="E15" s="2" t="s">
        <v>38</v>
      </c>
      <c r="F15" s="2" t="s">
        <v>39</v>
      </c>
      <c r="G15" s="2"/>
      <c r="H15" s="2" t="s">
        <v>13</v>
      </c>
      <c r="I15" s="2" t="s">
        <v>13</v>
      </c>
      <c r="J15" s="2" t="s">
        <v>102</v>
      </c>
    </row>
    <row r="16" spans="1:10" x14ac:dyDescent="0.4">
      <c r="A16" s="2" t="s">
        <v>37</v>
      </c>
      <c r="B16" s="2"/>
      <c r="C16" s="2"/>
      <c r="D16" s="2"/>
      <c r="E16" s="2" t="s">
        <v>40</v>
      </c>
      <c r="F16" s="2" t="s">
        <v>41</v>
      </c>
      <c r="G16" s="2"/>
      <c r="H16" s="2" t="s">
        <v>13</v>
      </c>
      <c r="I16" s="2" t="s">
        <v>13</v>
      </c>
      <c r="J16" s="2" t="s">
        <v>102</v>
      </c>
    </row>
    <row r="17" spans="1:10" x14ac:dyDescent="0.4">
      <c r="A17" s="2" t="s">
        <v>37</v>
      </c>
      <c r="B17" s="2"/>
      <c r="C17" s="2"/>
      <c r="D17" s="2"/>
      <c r="E17" s="2" t="s">
        <v>42</v>
      </c>
      <c r="F17" s="2" t="s">
        <v>43</v>
      </c>
      <c r="G17" s="2"/>
      <c r="H17" s="2" t="s">
        <v>13</v>
      </c>
      <c r="I17" s="2" t="s">
        <v>13</v>
      </c>
      <c r="J17" s="2" t="s">
        <v>102</v>
      </c>
    </row>
    <row r="18" spans="1:10" x14ac:dyDescent="0.4">
      <c r="A18" s="2" t="s">
        <v>37</v>
      </c>
      <c r="B18" s="2"/>
      <c r="C18" s="2"/>
      <c r="D18" s="2"/>
      <c r="E18" s="2" t="s">
        <v>44</v>
      </c>
      <c r="F18" s="2" t="s">
        <v>45</v>
      </c>
      <c r="G18" s="2"/>
      <c r="H18" s="2" t="s">
        <v>13</v>
      </c>
      <c r="I18" s="2" t="s">
        <v>13</v>
      </c>
      <c r="J18" s="2" t="s">
        <v>102</v>
      </c>
    </row>
    <row r="19" spans="1:10" x14ac:dyDescent="0.4">
      <c r="A19" s="2" t="s">
        <v>37</v>
      </c>
      <c r="B19" s="2"/>
      <c r="C19" s="2"/>
      <c r="D19" s="2"/>
      <c r="E19" s="2" t="s">
        <v>46</v>
      </c>
      <c r="F19" s="2" t="s">
        <v>47</v>
      </c>
      <c r="G19" s="2"/>
      <c r="H19" s="2" t="s">
        <v>13</v>
      </c>
      <c r="I19" s="2" t="s">
        <v>13</v>
      </c>
      <c r="J19" s="2" t="s">
        <v>102</v>
      </c>
    </row>
    <row r="20" spans="1:10" x14ac:dyDescent="0.4">
      <c r="A20" s="2"/>
      <c r="B20" s="2" t="s">
        <v>48</v>
      </c>
      <c r="C20" s="2"/>
      <c r="D20" s="2"/>
      <c r="E20" s="2"/>
      <c r="F20" s="2" t="s">
        <v>49</v>
      </c>
      <c r="G20" s="2"/>
      <c r="H20" s="2" t="s">
        <v>13</v>
      </c>
      <c r="I20" s="2" t="s">
        <v>13</v>
      </c>
      <c r="J20" s="2" t="s">
        <v>102</v>
      </c>
    </row>
    <row r="21" spans="1:10" x14ac:dyDescent="0.4">
      <c r="A21" s="2"/>
      <c r="B21" s="2" t="s">
        <v>50</v>
      </c>
      <c r="C21" s="2"/>
      <c r="D21" s="2"/>
      <c r="E21" s="2"/>
      <c r="F21" s="2" t="s">
        <v>51</v>
      </c>
      <c r="G21" s="2"/>
      <c r="H21" s="2" t="s">
        <v>13</v>
      </c>
      <c r="I21" s="2" t="s">
        <v>13</v>
      </c>
      <c r="J21" s="2" t="s">
        <v>102</v>
      </c>
    </row>
    <row r="22" spans="1:10" x14ac:dyDescent="0.4">
      <c r="A22" s="2" t="s">
        <v>52</v>
      </c>
      <c r="B22" s="2" t="s">
        <v>53</v>
      </c>
      <c r="C22" s="2"/>
      <c r="D22" s="2"/>
      <c r="E22" s="2"/>
      <c r="F22" s="2" t="s">
        <v>54</v>
      </c>
      <c r="G22" s="2"/>
      <c r="H22" s="2" t="s">
        <v>13</v>
      </c>
      <c r="I22" s="2" t="s">
        <v>13</v>
      </c>
      <c r="J22" s="2" t="s">
        <v>102</v>
      </c>
    </row>
    <row r="23" spans="1:10" x14ac:dyDescent="0.4">
      <c r="A23" s="2" t="s">
        <v>14</v>
      </c>
      <c r="B23" s="2"/>
      <c r="C23" s="2"/>
      <c r="D23" s="2" t="s">
        <v>55</v>
      </c>
      <c r="E23" s="2"/>
      <c r="F23" s="2" t="s">
        <v>56</v>
      </c>
      <c r="G23" s="2"/>
      <c r="H23" s="2" t="s">
        <v>13</v>
      </c>
      <c r="I23" s="2" t="s">
        <v>13</v>
      </c>
      <c r="J23" s="2" t="s">
        <v>102</v>
      </c>
    </row>
    <row r="24" spans="1:10" x14ac:dyDescent="0.4">
      <c r="A24" s="2" t="s">
        <v>14</v>
      </c>
      <c r="B24" s="2"/>
      <c r="C24" s="2"/>
      <c r="D24" s="2" t="s">
        <v>57</v>
      </c>
      <c r="E24" s="2"/>
      <c r="F24" s="2" t="s">
        <v>58</v>
      </c>
      <c r="G24" s="2"/>
      <c r="H24" s="2" t="s">
        <v>13</v>
      </c>
      <c r="I24" s="2" t="s">
        <v>13</v>
      </c>
      <c r="J24" s="2" t="s">
        <v>102</v>
      </c>
    </row>
    <row r="25" spans="1:10" x14ac:dyDescent="0.4">
      <c r="A25" s="2" t="s">
        <v>59</v>
      </c>
      <c r="B25" s="2" t="s">
        <v>60</v>
      </c>
      <c r="C25" s="2"/>
      <c r="D25" s="2"/>
      <c r="E25" s="2"/>
      <c r="F25" s="2" t="s">
        <v>61</v>
      </c>
      <c r="G25" s="2"/>
      <c r="H25" s="2" t="s">
        <v>13</v>
      </c>
      <c r="I25" s="2" t="s">
        <v>13</v>
      </c>
      <c r="J25" s="2" t="s">
        <v>102</v>
      </c>
    </row>
    <row r="26" spans="1:10" x14ac:dyDescent="0.4">
      <c r="A26" s="2" t="s">
        <v>14</v>
      </c>
      <c r="B26" s="2"/>
      <c r="C26" s="2"/>
      <c r="D26" s="2" t="s">
        <v>62</v>
      </c>
      <c r="E26" s="2"/>
      <c r="F26" s="2" t="s">
        <v>63</v>
      </c>
      <c r="G26" s="2"/>
      <c r="H26" s="2" t="s">
        <v>13</v>
      </c>
      <c r="I26" s="2" t="s">
        <v>13</v>
      </c>
      <c r="J26" s="2" t="s">
        <v>102</v>
      </c>
    </row>
    <row r="27" spans="1:10" x14ac:dyDescent="0.4">
      <c r="A27" s="2" t="s">
        <v>14</v>
      </c>
      <c r="B27" s="2" t="s">
        <v>64</v>
      </c>
      <c r="C27" s="2"/>
      <c r="D27" s="2"/>
      <c r="E27" s="2"/>
      <c r="F27" s="2" t="s">
        <v>65</v>
      </c>
      <c r="G27" s="2"/>
      <c r="H27" s="2" t="s">
        <v>13</v>
      </c>
      <c r="I27" s="2" t="s">
        <v>13</v>
      </c>
      <c r="J27" s="2" t="s">
        <v>102</v>
      </c>
    </row>
    <row r="28" spans="1:10" x14ac:dyDescent="0.4">
      <c r="A28" s="2" t="s">
        <v>52</v>
      </c>
      <c r="B28" s="2" t="s">
        <v>66</v>
      </c>
      <c r="C28" s="2"/>
      <c r="D28" s="2"/>
      <c r="E28" s="2"/>
      <c r="F28" s="2" t="s">
        <v>67</v>
      </c>
      <c r="G28" s="2"/>
      <c r="H28" s="2" t="s">
        <v>13</v>
      </c>
      <c r="I28" s="2" t="s">
        <v>13</v>
      </c>
      <c r="J28" s="2" t="s">
        <v>102</v>
      </c>
    </row>
    <row r="29" spans="1:10" x14ac:dyDescent="0.4">
      <c r="A29" s="2"/>
      <c r="B29" s="2" t="s">
        <v>11</v>
      </c>
      <c r="C29" s="2"/>
      <c r="D29" s="2"/>
      <c r="E29" s="2"/>
      <c r="F29" s="2" t="s">
        <v>12</v>
      </c>
      <c r="G29" s="2"/>
      <c r="H29" s="2" t="s">
        <v>13</v>
      </c>
      <c r="I29" s="2" t="s">
        <v>13</v>
      </c>
      <c r="J29" s="2" t="s">
        <v>102</v>
      </c>
    </row>
    <row r="30" spans="1:10" x14ac:dyDescent="0.4">
      <c r="A30" s="2" t="s">
        <v>14</v>
      </c>
      <c r="B30" s="2"/>
      <c r="C30" s="2"/>
      <c r="D30" s="2" t="s">
        <v>15</v>
      </c>
      <c r="E30" s="2"/>
      <c r="F30" s="2" t="s">
        <v>16</v>
      </c>
      <c r="G30" s="2"/>
      <c r="H30" s="2" t="s">
        <v>13</v>
      </c>
      <c r="I30" s="2" t="s">
        <v>13</v>
      </c>
      <c r="J30" s="2" t="s">
        <v>102</v>
      </c>
    </row>
    <row r="31" spans="1:10" x14ac:dyDescent="0.4">
      <c r="A31" s="2" t="s">
        <v>14</v>
      </c>
      <c r="B31" s="2"/>
      <c r="C31" s="2"/>
      <c r="D31" s="2" t="s">
        <v>17</v>
      </c>
      <c r="E31" s="2"/>
      <c r="F31" s="2" t="s">
        <v>18</v>
      </c>
      <c r="G31" s="2"/>
      <c r="H31" s="2" t="s">
        <v>13</v>
      </c>
      <c r="I31" s="2" t="s">
        <v>13</v>
      </c>
      <c r="J31" s="2" t="s">
        <v>102</v>
      </c>
    </row>
    <row r="32" spans="1:10" x14ac:dyDescent="0.4">
      <c r="A32" s="2" t="s">
        <v>14</v>
      </c>
      <c r="B32" s="2"/>
      <c r="C32" s="2"/>
      <c r="D32" s="2" t="s">
        <v>19</v>
      </c>
      <c r="E32" s="2"/>
      <c r="F32" s="2" t="s">
        <v>20</v>
      </c>
      <c r="G32" s="2"/>
      <c r="H32" s="2" t="s">
        <v>13</v>
      </c>
      <c r="I32" s="2" t="s">
        <v>13</v>
      </c>
      <c r="J32" s="2" t="s">
        <v>102</v>
      </c>
    </row>
    <row r="33" spans="1:10" x14ac:dyDescent="0.4">
      <c r="A33" s="2" t="s">
        <v>14</v>
      </c>
      <c r="B33" s="2"/>
      <c r="C33" s="2"/>
      <c r="D33" s="2" t="s">
        <v>21</v>
      </c>
      <c r="E33" s="2"/>
      <c r="F33" s="2" t="s">
        <v>22</v>
      </c>
      <c r="G33" s="2"/>
      <c r="H33" s="2" t="s">
        <v>13</v>
      </c>
      <c r="I33" s="2" t="s">
        <v>13</v>
      </c>
      <c r="J33" s="2" t="s">
        <v>102</v>
      </c>
    </row>
    <row r="34" spans="1:10" x14ac:dyDescent="0.4">
      <c r="A34" s="2" t="s">
        <v>14</v>
      </c>
      <c r="B34" s="2"/>
      <c r="C34" s="2"/>
      <c r="D34" s="2" t="s">
        <v>23</v>
      </c>
      <c r="E34" s="2"/>
      <c r="F34" s="2" t="s">
        <v>24</v>
      </c>
      <c r="G34" s="2"/>
      <c r="H34" s="2" t="s">
        <v>13</v>
      </c>
      <c r="I34" s="2" t="s">
        <v>13</v>
      </c>
      <c r="J34" s="2" t="s">
        <v>102</v>
      </c>
    </row>
    <row r="35" spans="1:10" x14ac:dyDescent="0.4">
      <c r="A35" s="2" t="s">
        <v>14</v>
      </c>
      <c r="B35" s="2"/>
      <c r="C35" s="2"/>
      <c r="D35" s="2" t="s">
        <v>25</v>
      </c>
      <c r="E35" s="2"/>
      <c r="F35" s="2" t="s">
        <v>26</v>
      </c>
      <c r="G35" s="2"/>
      <c r="H35" s="2" t="s">
        <v>13</v>
      </c>
      <c r="I35" s="2" t="s">
        <v>13</v>
      </c>
      <c r="J35" s="2" t="s">
        <v>102</v>
      </c>
    </row>
    <row r="36" spans="1:10" x14ac:dyDescent="0.4">
      <c r="A36" s="2" t="s">
        <v>14</v>
      </c>
      <c r="B36" s="2"/>
      <c r="C36" s="2"/>
      <c r="D36" s="2" t="s">
        <v>27</v>
      </c>
      <c r="E36" s="2"/>
      <c r="F36" s="2" t="s">
        <v>28</v>
      </c>
      <c r="G36" s="2"/>
      <c r="H36" s="2" t="s">
        <v>13</v>
      </c>
      <c r="I36" s="2" t="s">
        <v>13</v>
      </c>
      <c r="J36" s="2" t="s">
        <v>102</v>
      </c>
    </row>
    <row r="37" spans="1:10" x14ac:dyDescent="0.4">
      <c r="A37" s="2" t="s">
        <v>14</v>
      </c>
      <c r="B37" s="2"/>
      <c r="C37" s="2"/>
      <c r="D37" s="2" t="s">
        <v>29</v>
      </c>
      <c r="E37" s="2"/>
      <c r="F37" s="2" t="s">
        <v>30</v>
      </c>
      <c r="G37" s="2"/>
      <c r="H37" s="2" t="s">
        <v>13</v>
      </c>
      <c r="I37" s="2" t="s">
        <v>13</v>
      </c>
      <c r="J37" s="2" t="s">
        <v>102</v>
      </c>
    </row>
    <row r="38" spans="1:10" x14ac:dyDescent="0.4">
      <c r="A38" s="2" t="s">
        <v>14</v>
      </c>
      <c r="B38" s="2"/>
      <c r="C38" s="2"/>
      <c r="D38" s="2" t="s">
        <v>31</v>
      </c>
      <c r="E38" s="2"/>
      <c r="F38" s="2" t="s">
        <v>32</v>
      </c>
      <c r="G38" s="2"/>
      <c r="H38" s="2" t="s">
        <v>13</v>
      </c>
      <c r="I38" s="2" t="s">
        <v>13</v>
      </c>
      <c r="J38" s="2" t="s">
        <v>102</v>
      </c>
    </row>
    <row r="39" spans="1:10" x14ac:dyDescent="0.4">
      <c r="A39" s="2" t="s">
        <v>14</v>
      </c>
      <c r="B39" s="2"/>
      <c r="C39" s="2"/>
      <c r="D39" s="2" t="s">
        <v>33</v>
      </c>
      <c r="E39" s="2"/>
      <c r="F39" s="2" t="s">
        <v>34</v>
      </c>
      <c r="G39" s="2"/>
      <c r="H39" s="2" t="s">
        <v>13</v>
      </c>
      <c r="I39" s="2" t="s">
        <v>13</v>
      </c>
      <c r="J39" s="2" t="s">
        <v>102</v>
      </c>
    </row>
    <row r="40" spans="1:10" x14ac:dyDescent="0.4">
      <c r="A40" s="2"/>
      <c r="B40" s="2" t="s">
        <v>35</v>
      </c>
      <c r="C40" s="2"/>
      <c r="D40" s="2"/>
      <c r="E40" s="2"/>
      <c r="F40" s="2" t="s">
        <v>36</v>
      </c>
      <c r="G40" s="2"/>
      <c r="H40" s="2" t="s">
        <v>13</v>
      </c>
      <c r="I40" s="2" t="s">
        <v>13</v>
      </c>
      <c r="J40" s="2" t="s">
        <v>102</v>
      </c>
    </row>
    <row r="41" spans="1:10" x14ac:dyDescent="0.4">
      <c r="A41" s="2" t="s">
        <v>37</v>
      </c>
      <c r="B41" s="2"/>
      <c r="C41" s="2"/>
      <c r="D41" s="2"/>
      <c r="E41" s="2" t="s">
        <v>38</v>
      </c>
      <c r="F41" s="2" t="s">
        <v>39</v>
      </c>
      <c r="G41" s="2"/>
      <c r="H41" s="2" t="s">
        <v>13</v>
      </c>
      <c r="I41" s="2" t="s">
        <v>13</v>
      </c>
      <c r="J41" s="2" t="s">
        <v>102</v>
      </c>
    </row>
    <row r="42" spans="1:10" x14ac:dyDescent="0.4">
      <c r="A42" s="2" t="s">
        <v>37</v>
      </c>
      <c r="B42" s="2"/>
      <c r="C42" s="2"/>
      <c r="D42" s="2"/>
      <c r="E42" s="2" t="s">
        <v>40</v>
      </c>
      <c r="F42" s="2" t="s">
        <v>41</v>
      </c>
      <c r="G42" s="2"/>
      <c r="H42" s="2" t="s">
        <v>13</v>
      </c>
      <c r="I42" s="2" t="s">
        <v>13</v>
      </c>
      <c r="J42" s="2" t="s">
        <v>102</v>
      </c>
    </row>
    <row r="43" spans="1:10" x14ac:dyDescent="0.4">
      <c r="A43" s="2" t="s">
        <v>37</v>
      </c>
      <c r="B43" s="2"/>
      <c r="C43" s="2"/>
      <c r="D43" s="2"/>
      <c r="E43" s="2" t="s">
        <v>42</v>
      </c>
      <c r="F43" s="2" t="s">
        <v>43</v>
      </c>
      <c r="G43" s="2"/>
      <c r="H43" s="2" t="s">
        <v>13</v>
      </c>
      <c r="I43" s="2" t="s">
        <v>13</v>
      </c>
      <c r="J43" s="2" t="s">
        <v>102</v>
      </c>
    </row>
    <row r="44" spans="1:10" x14ac:dyDescent="0.4">
      <c r="A44" s="2" t="s">
        <v>37</v>
      </c>
      <c r="B44" s="2"/>
      <c r="C44" s="2"/>
      <c r="D44" s="2"/>
      <c r="E44" s="2" t="s">
        <v>44</v>
      </c>
      <c r="F44" s="2" t="s">
        <v>45</v>
      </c>
      <c r="G44" s="2"/>
      <c r="H44" s="2" t="s">
        <v>13</v>
      </c>
      <c r="I44" s="2" t="s">
        <v>13</v>
      </c>
      <c r="J44" s="2" t="s">
        <v>102</v>
      </c>
    </row>
    <row r="45" spans="1:10" x14ac:dyDescent="0.4">
      <c r="A45" s="2" t="s">
        <v>37</v>
      </c>
      <c r="B45" s="2"/>
      <c r="C45" s="2"/>
      <c r="D45" s="2"/>
      <c r="E45" s="2" t="s">
        <v>46</v>
      </c>
      <c r="F45" s="2" t="s">
        <v>47</v>
      </c>
      <c r="G45" s="2"/>
      <c r="H45" s="2" t="s">
        <v>13</v>
      </c>
      <c r="I45" s="2" t="s">
        <v>13</v>
      </c>
      <c r="J45" s="2" t="s">
        <v>102</v>
      </c>
    </row>
    <row r="46" spans="1:10" x14ac:dyDescent="0.4">
      <c r="A46" s="2"/>
      <c r="B46" s="2" t="s">
        <v>48</v>
      </c>
      <c r="C46" s="2"/>
      <c r="D46" s="2"/>
      <c r="E46" s="2"/>
      <c r="F46" s="2" t="s">
        <v>49</v>
      </c>
      <c r="G46" s="2"/>
      <c r="H46" s="2" t="s">
        <v>13</v>
      </c>
      <c r="I46" s="2" t="s">
        <v>13</v>
      </c>
      <c r="J46" s="2" t="s">
        <v>102</v>
      </c>
    </row>
    <row r="47" spans="1:10" x14ac:dyDescent="0.4">
      <c r="A47" s="2"/>
      <c r="B47" s="2" t="s">
        <v>50</v>
      </c>
      <c r="C47" s="2"/>
      <c r="D47" s="2"/>
      <c r="E47" s="2"/>
      <c r="F47" s="2" t="s">
        <v>51</v>
      </c>
      <c r="G47" s="2"/>
      <c r="H47" s="2" t="s">
        <v>13</v>
      </c>
      <c r="I47" s="2" t="s">
        <v>13</v>
      </c>
      <c r="J47" s="2" t="s">
        <v>102</v>
      </c>
    </row>
    <row r="48" spans="1:10" x14ac:dyDescent="0.4">
      <c r="A48" s="2" t="s">
        <v>52</v>
      </c>
      <c r="B48" s="2" t="s">
        <v>53</v>
      </c>
      <c r="C48" s="2"/>
      <c r="D48" s="2"/>
      <c r="E48" s="2"/>
      <c r="F48" s="2" t="s">
        <v>54</v>
      </c>
      <c r="G48" s="2"/>
      <c r="H48" s="2" t="s">
        <v>13</v>
      </c>
      <c r="I48" s="2" t="s">
        <v>13</v>
      </c>
      <c r="J48" s="2" t="s">
        <v>102</v>
      </c>
    </row>
    <row r="49" spans="1:10" x14ac:dyDescent="0.4">
      <c r="A49" s="2" t="s">
        <v>14</v>
      </c>
      <c r="B49" s="2"/>
      <c r="C49" s="2"/>
      <c r="D49" s="2" t="s">
        <v>55</v>
      </c>
      <c r="E49" s="2"/>
      <c r="F49" s="2" t="s">
        <v>56</v>
      </c>
      <c r="G49" s="2"/>
      <c r="H49" s="2" t="s">
        <v>13</v>
      </c>
      <c r="I49" s="2" t="s">
        <v>13</v>
      </c>
      <c r="J49" s="2" t="s">
        <v>102</v>
      </c>
    </row>
    <row r="50" spans="1:10" x14ac:dyDescent="0.4">
      <c r="A50" s="2" t="s">
        <v>14</v>
      </c>
      <c r="B50" s="2"/>
      <c r="C50" s="2"/>
      <c r="D50" s="2" t="s">
        <v>57</v>
      </c>
      <c r="E50" s="2"/>
      <c r="F50" s="2" t="s">
        <v>58</v>
      </c>
      <c r="G50" s="2"/>
      <c r="H50" s="2" t="s">
        <v>13</v>
      </c>
      <c r="I50" s="2" t="s">
        <v>13</v>
      </c>
      <c r="J50" s="2" t="s">
        <v>102</v>
      </c>
    </row>
    <row r="51" spans="1:10" x14ac:dyDescent="0.4">
      <c r="A51" s="2" t="s">
        <v>59</v>
      </c>
      <c r="B51" s="2" t="s">
        <v>60</v>
      </c>
      <c r="C51" s="2"/>
      <c r="D51" s="2"/>
      <c r="E51" s="2"/>
      <c r="F51" s="2" t="s">
        <v>61</v>
      </c>
      <c r="G51" s="2"/>
      <c r="H51" s="2" t="s">
        <v>13</v>
      </c>
      <c r="I51" s="2" t="s">
        <v>13</v>
      </c>
      <c r="J51" s="2" t="s">
        <v>102</v>
      </c>
    </row>
    <row r="52" spans="1:10" x14ac:dyDescent="0.4">
      <c r="A52" s="2" t="s">
        <v>14</v>
      </c>
      <c r="B52" s="2"/>
      <c r="C52" s="2"/>
      <c r="D52" s="2" t="s">
        <v>62</v>
      </c>
      <c r="E52" s="2"/>
      <c r="F52" s="2" t="s">
        <v>63</v>
      </c>
      <c r="G52" s="2"/>
      <c r="H52" s="2" t="s">
        <v>13</v>
      </c>
      <c r="I52" s="2" t="s">
        <v>13</v>
      </c>
      <c r="J52" s="2" t="s">
        <v>102</v>
      </c>
    </row>
    <row r="53" spans="1:10" x14ac:dyDescent="0.4">
      <c r="A53" s="2" t="s">
        <v>14</v>
      </c>
      <c r="B53" s="2" t="s">
        <v>64</v>
      </c>
      <c r="C53" s="2"/>
      <c r="D53" s="2"/>
      <c r="E53" s="2"/>
      <c r="F53" s="2" t="s">
        <v>65</v>
      </c>
      <c r="G53" s="2"/>
      <c r="H53" s="2" t="s">
        <v>13</v>
      </c>
      <c r="I53" s="2" t="s">
        <v>13</v>
      </c>
      <c r="J53" s="2" t="s">
        <v>102</v>
      </c>
    </row>
    <row r="54" spans="1:10" x14ac:dyDescent="0.4">
      <c r="A54" s="2" t="s">
        <v>52</v>
      </c>
      <c r="B54" s="2" t="s">
        <v>66</v>
      </c>
      <c r="C54" s="2"/>
      <c r="D54" s="2"/>
      <c r="E54" s="2"/>
      <c r="F54" s="2" t="s">
        <v>67</v>
      </c>
      <c r="G54" s="2"/>
      <c r="H54" s="2" t="s">
        <v>13</v>
      </c>
      <c r="I54" s="2" t="s">
        <v>13</v>
      </c>
      <c r="J54" s="2" t="s">
        <v>102</v>
      </c>
    </row>
    <row r="55" spans="1:10" x14ac:dyDescent="0.4">
      <c r="A55" s="2"/>
      <c r="B55" s="2" t="s">
        <v>11</v>
      </c>
      <c r="C55" s="2"/>
      <c r="D55" s="2"/>
      <c r="E55" s="2"/>
      <c r="F55" s="2" t="s">
        <v>12</v>
      </c>
      <c r="G55" s="2"/>
      <c r="H55" s="2" t="s">
        <v>13</v>
      </c>
      <c r="I55" s="2" t="s">
        <v>13</v>
      </c>
      <c r="J55" s="2" t="s">
        <v>102</v>
      </c>
    </row>
    <row r="56" spans="1:10" x14ac:dyDescent="0.4">
      <c r="A56" s="2" t="s">
        <v>14</v>
      </c>
      <c r="B56" s="2"/>
      <c r="C56" s="2"/>
      <c r="D56" s="2" t="s">
        <v>15</v>
      </c>
      <c r="E56" s="2"/>
      <c r="F56" s="2" t="s">
        <v>16</v>
      </c>
      <c r="G56" s="2"/>
      <c r="H56" s="2" t="s">
        <v>13</v>
      </c>
      <c r="I56" s="2" t="s">
        <v>13</v>
      </c>
      <c r="J56" s="2" t="s">
        <v>102</v>
      </c>
    </row>
    <row r="57" spans="1:10" x14ac:dyDescent="0.4">
      <c r="A57" s="2" t="s">
        <v>14</v>
      </c>
      <c r="B57" s="2"/>
      <c r="C57" s="2"/>
      <c r="D57" s="2" t="s">
        <v>17</v>
      </c>
      <c r="E57" s="2"/>
      <c r="F57" s="2" t="s">
        <v>18</v>
      </c>
      <c r="G57" s="2"/>
      <c r="H57" s="2" t="s">
        <v>13</v>
      </c>
      <c r="I57" s="2" t="s">
        <v>13</v>
      </c>
      <c r="J57" s="2" t="s">
        <v>102</v>
      </c>
    </row>
    <row r="58" spans="1:10" x14ac:dyDescent="0.4">
      <c r="A58" s="2" t="s">
        <v>14</v>
      </c>
      <c r="B58" s="2"/>
      <c r="C58" s="2"/>
      <c r="D58" s="2" t="s">
        <v>19</v>
      </c>
      <c r="E58" s="2"/>
      <c r="F58" s="2" t="s">
        <v>20</v>
      </c>
      <c r="G58" s="2"/>
      <c r="H58" s="2" t="s">
        <v>13</v>
      </c>
      <c r="I58" s="2" t="s">
        <v>13</v>
      </c>
      <c r="J58" s="2" t="s">
        <v>102</v>
      </c>
    </row>
    <row r="59" spans="1:10" x14ac:dyDescent="0.4">
      <c r="A59" s="2" t="s">
        <v>14</v>
      </c>
      <c r="B59" s="2"/>
      <c r="C59" s="2"/>
      <c r="D59" s="2" t="s">
        <v>21</v>
      </c>
      <c r="E59" s="2"/>
      <c r="F59" s="2" t="s">
        <v>22</v>
      </c>
      <c r="G59" s="2"/>
      <c r="H59" s="2" t="s">
        <v>13</v>
      </c>
      <c r="I59" s="2" t="s">
        <v>13</v>
      </c>
      <c r="J59" s="2" t="s">
        <v>102</v>
      </c>
    </row>
    <row r="60" spans="1:10" x14ac:dyDescent="0.4">
      <c r="A60" s="2" t="s">
        <v>14</v>
      </c>
      <c r="B60" s="2"/>
      <c r="C60" s="2"/>
      <c r="D60" s="2" t="s">
        <v>23</v>
      </c>
      <c r="E60" s="2"/>
      <c r="F60" s="2" t="s">
        <v>24</v>
      </c>
      <c r="G60" s="2"/>
      <c r="H60" s="2" t="s">
        <v>13</v>
      </c>
      <c r="I60" s="2" t="s">
        <v>13</v>
      </c>
      <c r="J60" s="2" t="s">
        <v>102</v>
      </c>
    </row>
    <row r="61" spans="1:10" x14ac:dyDescent="0.4">
      <c r="A61" s="2" t="s">
        <v>14</v>
      </c>
      <c r="B61" s="2"/>
      <c r="C61" s="2"/>
      <c r="D61" s="2" t="s">
        <v>25</v>
      </c>
      <c r="E61" s="2"/>
      <c r="F61" s="2" t="s">
        <v>26</v>
      </c>
      <c r="G61" s="2"/>
      <c r="H61" s="2" t="s">
        <v>13</v>
      </c>
      <c r="I61" s="2" t="s">
        <v>13</v>
      </c>
      <c r="J61" s="2" t="s">
        <v>102</v>
      </c>
    </row>
    <row r="62" spans="1:10" x14ac:dyDescent="0.4">
      <c r="A62" s="2" t="s">
        <v>14</v>
      </c>
      <c r="B62" s="2"/>
      <c r="C62" s="2"/>
      <c r="D62" s="2" t="s">
        <v>27</v>
      </c>
      <c r="E62" s="2"/>
      <c r="F62" s="2" t="s">
        <v>28</v>
      </c>
      <c r="G62" s="2"/>
      <c r="H62" s="2" t="s">
        <v>13</v>
      </c>
      <c r="I62" s="2" t="s">
        <v>13</v>
      </c>
      <c r="J62" s="2" t="s">
        <v>102</v>
      </c>
    </row>
    <row r="63" spans="1:10" x14ac:dyDescent="0.4">
      <c r="A63" s="2" t="s">
        <v>14</v>
      </c>
      <c r="B63" s="2"/>
      <c r="C63" s="2"/>
      <c r="D63" s="2" t="s">
        <v>29</v>
      </c>
      <c r="E63" s="2"/>
      <c r="F63" s="2" t="s">
        <v>30</v>
      </c>
      <c r="G63" s="2"/>
      <c r="H63" s="2" t="s">
        <v>13</v>
      </c>
      <c r="I63" s="2" t="s">
        <v>13</v>
      </c>
      <c r="J63" s="2" t="s">
        <v>102</v>
      </c>
    </row>
    <row r="64" spans="1:10" x14ac:dyDescent="0.4">
      <c r="A64" s="2" t="s">
        <v>14</v>
      </c>
      <c r="B64" s="2"/>
      <c r="C64" s="2"/>
      <c r="D64" s="2" t="s">
        <v>31</v>
      </c>
      <c r="E64" s="2"/>
      <c r="F64" s="2" t="s">
        <v>32</v>
      </c>
      <c r="G64" s="2"/>
      <c r="H64" s="2" t="s">
        <v>13</v>
      </c>
      <c r="I64" s="2" t="s">
        <v>13</v>
      </c>
      <c r="J64" s="2" t="s">
        <v>102</v>
      </c>
    </row>
    <row r="65" spans="1:10" x14ac:dyDescent="0.4">
      <c r="A65" s="2" t="s">
        <v>14</v>
      </c>
      <c r="B65" s="2"/>
      <c r="C65" s="2"/>
      <c r="D65" s="2" t="s">
        <v>33</v>
      </c>
      <c r="E65" s="2"/>
      <c r="F65" s="2" t="s">
        <v>34</v>
      </c>
      <c r="G65" s="2"/>
      <c r="H65" s="2" t="s">
        <v>13</v>
      </c>
      <c r="I65" s="2" t="s">
        <v>13</v>
      </c>
      <c r="J65" s="2" t="s">
        <v>102</v>
      </c>
    </row>
    <row r="66" spans="1:10" x14ac:dyDescent="0.4">
      <c r="A66" s="2"/>
      <c r="B66" s="2" t="s">
        <v>35</v>
      </c>
      <c r="C66" s="2"/>
      <c r="D66" s="2"/>
      <c r="E66" s="2"/>
      <c r="F66" s="2" t="s">
        <v>36</v>
      </c>
      <c r="G66" s="2"/>
      <c r="H66" s="2" t="s">
        <v>13</v>
      </c>
      <c r="I66" s="2" t="s">
        <v>13</v>
      </c>
      <c r="J66" s="2" t="s">
        <v>102</v>
      </c>
    </row>
    <row r="67" spans="1:10" x14ac:dyDescent="0.4">
      <c r="A67" s="2" t="s">
        <v>37</v>
      </c>
      <c r="B67" s="2"/>
      <c r="C67" s="2"/>
      <c r="D67" s="2"/>
      <c r="E67" s="2" t="s">
        <v>38</v>
      </c>
      <c r="F67" s="2" t="s">
        <v>39</v>
      </c>
      <c r="G67" s="2"/>
      <c r="H67" s="2" t="s">
        <v>13</v>
      </c>
      <c r="I67" s="2" t="s">
        <v>13</v>
      </c>
      <c r="J67" s="2" t="s">
        <v>102</v>
      </c>
    </row>
    <row r="68" spans="1:10" x14ac:dyDescent="0.4">
      <c r="A68" s="2" t="s">
        <v>37</v>
      </c>
      <c r="B68" s="2"/>
      <c r="C68" s="2"/>
      <c r="D68" s="2"/>
      <c r="E68" s="2" t="s">
        <v>40</v>
      </c>
      <c r="F68" s="2" t="s">
        <v>41</v>
      </c>
      <c r="G68" s="2"/>
      <c r="H68" s="2" t="s">
        <v>13</v>
      </c>
      <c r="I68" s="2" t="s">
        <v>13</v>
      </c>
      <c r="J68" s="2" t="s">
        <v>102</v>
      </c>
    </row>
    <row r="69" spans="1:10" x14ac:dyDescent="0.4">
      <c r="A69" s="2" t="s">
        <v>37</v>
      </c>
      <c r="B69" s="2"/>
      <c r="C69" s="2"/>
      <c r="D69" s="2"/>
      <c r="E69" s="2" t="s">
        <v>42</v>
      </c>
      <c r="F69" s="2" t="s">
        <v>43</v>
      </c>
      <c r="G69" s="2"/>
      <c r="H69" s="2" t="s">
        <v>13</v>
      </c>
      <c r="I69" s="2" t="s">
        <v>13</v>
      </c>
      <c r="J69" s="2" t="s">
        <v>102</v>
      </c>
    </row>
    <row r="70" spans="1:10" x14ac:dyDescent="0.4">
      <c r="A70" s="2" t="s">
        <v>37</v>
      </c>
      <c r="B70" s="2"/>
      <c r="C70" s="2"/>
      <c r="D70" s="2"/>
      <c r="E70" s="2" t="s">
        <v>44</v>
      </c>
      <c r="F70" s="2" t="s">
        <v>45</v>
      </c>
      <c r="G70" s="2"/>
      <c r="H70" s="2" t="s">
        <v>13</v>
      </c>
      <c r="I70" s="2" t="s">
        <v>13</v>
      </c>
      <c r="J70" s="2" t="s">
        <v>102</v>
      </c>
    </row>
    <row r="71" spans="1:10" x14ac:dyDescent="0.4">
      <c r="A71" s="2" t="s">
        <v>37</v>
      </c>
      <c r="B71" s="2"/>
      <c r="C71" s="2"/>
      <c r="D71" s="2"/>
      <c r="E71" s="2" t="s">
        <v>46</v>
      </c>
      <c r="F71" s="2" t="s">
        <v>47</v>
      </c>
      <c r="G71" s="2"/>
      <c r="H71" s="2" t="s">
        <v>13</v>
      </c>
      <c r="I71" s="2" t="s">
        <v>13</v>
      </c>
      <c r="J71" s="2" t="s">
        <v>102</v>
      </c>
    </row>
    <row r="72" spans="1:10" x14ac:dyDescent="0.4">
      <c r="A72" s="2"/>
      <c r="B72" s="2" t="s">
        <v>48</v>
      </c>
      <c r="C72" s="2"/>
      <c r="D72" s="2"/>
      <c r="E72" s="2"/>
      <c r="F72" s="2" t="s">
        <v>49</v>
      </c>
      <c r="G72" s="2"/>
      <c r="H72" s="2" t="s">
        <v>13</v>
      </c>
      <c r="I72" s="2" t="s">
        <v>13</v>
      </c>
      <c r="J72" s="2" t="s">
        <v>102</v>
      </c>
    </row>
    <row r="73" spans="1:10" x14ac:dyDescent="0.4">
      <c r="A73" s="2"/>
      <c r="B73" s="2" t="s">
        <v>50</v>
      </c>
      <c r="C73" s="2"/>
      <c r="D73" s="2"/>
      <c r="E73" s="2"/>
      <c r="F73" s="2" t="s">
        <v>51</v>
      </c>
      <c r="G73" s="2"/>
      <c r="H73" s="2" t="s">
        <v>13</v>
      </c>
      <c r="I73" s="2" t="s">
        <v>13</v>
      </c>
      <c r="J73" s="2" t="s">
        <v>102</v>
      </c>
    </row>
    <row r="74" spans="1:10" x14ac:dyDescent="0.4">
      <c r="A74" s="2" t="s">
        <v>52</v>
      </c>
      <c r="B74" s="2" t="s">
        <v>53</v>
      </c>
      <c r="C74" s="2"/>
      <c r="D74" s="2"/>
      <c r="E74" s="2"/>
      <c r="F74" s="2" t="s">
        <v>54</v>
      </c>
      <c r="G74" s="2"/>
      <c r="H74" s="2" t="s">
        <v>13</v>
      </c>
      <c r="I74" s="2" t="s">
        <v>13</v>
      </c>
      <c r="J74" s="2" t="s">
        <v>102</v>
      </c>
    </row>
    <row r="75" spans="1:10" x14ac:dyDescent="0.4">
      <c r="A75" s="2" t="s">
        <v>14</v>
      </c>
      <c r="B75" s="2"/>
      <c r="C75" s="2"/>
      <c r="D75" s="2" t="s">
        <v>55</v>
      </c>
      <c r="E75" s="2"/>
      <c r="F75" s="2" t="s">
        <v>56</v>
      </c>
      <c r="G75" s="2"/>
      <c r="H75" s="2" t="s">
        <v>13</v>
      </c>
      <c r="I75" s="2" t="s">
        <v>13</v>
      </c>
      <c r="J75" s="2" t="s">
        <v>102</v>
      </c>
    </row>
    <row r="76" spans="1:10" x14ac:dyDescent="0.4">
      <c r="A76" s="2" t="s">
        <v>14</v>
      </c>
      <c r="B76" s="2"/>
      <c r="C76" s="2"/>
      <c r="D76" s="2" t="s">
        <v>57</v>
      </c>
      <c r="E76" s="2"/>
      <c r="F76" s="2" t="s">
        <v>58</v>
      </c>
      <c r="G76" s="2"/>
      <c r="H76" s="2" t="s">
        <v>13</v>
      </c>
      <c r="I76" s="2" t="s">
        <v>13</v>
      </c>
      <c r="J76" s="2" t="s">
        <v>102</v>
      </c>
    </row>
    <row r="77" spans="1:10" x14ac:dyDescent="0.4">
      <c r="A77" s="2" t="s">
        <v>59</v>
      </c>
      <c r="B77" s="2" t="s">
        <v>60</v>
      </c>
      <c r="C77" s="2"/>
      <c r="D77" s="2"/>
      <c r="E77" s="2"/>
      <c r="F77" s="2" t="s">
        <v>61</v>
      </c>
      <c r="G77" s="2"/>
      <c r="H77" s="2" t="s">
        <v>13</v>
      </c>
      <c r="I77" s="2" t="s">
        <v>13</v>
      </c>
      <c r="J77" s="2" t="s">
        <v>102</v>
      </c>
    </row>
    <row r="78" spans="1:10" x14ac:dyDescent="0.4">
      <c r="A78" s="2" t="s">
        <v>14</v>
      </c>
      <c r="B78" s="2"/>
      <c r="C78" s="2"/>
      <c r="D78" s="2" t="s">
        <v>62</v>
      </c>
      <c r="E78" s="2"/>
      <c r="F78" s="2" t="s">
        <v>63</v>
      </c>
      <c r="G78" s="2"/>
      <c r="H78" s="2" t="s">
        <v>13</v>
      </c>
      <c r="I78" s="2" t="s">
        <v>13</v>
      </c>
      <c r="J78" s="2" t="s">
        <v>102</v>
      </c>
    </row>
    <row r="79" spans="1:10" x14ac:dyDescent="0.4">
      <c r="A79" s="2" t="s">
        <v>14</v>
      </c>
      <c r="B79" s="2" t="s">
        <v>64</v>
      </c>
      <c r="C79" s="2"/>
      <c r="D79" s="2"/>
      <c r="E79" s="2"/>
      <c r="F79" s="2" t="s">
        <v>65</v>
      </c>
      <c r="G79" s="2"/>
      <c r="H79" s="2" t="s">
        <v>13</v>
      </c>
      <c r="I79" s="2" t="s">
        <v>13</v>
      </c>
      <c r="J79" s="2" t="s">
        <v>102</v>
      </c>
    </row>
    <row r="80" spans="1:10" x14ac:dyDescent="0.4">
      <c r="A80" s="2" t="s">
        <v>52</v>
      </c>
      <c r="B80" s="2" t="s">
        <v>66</v>
      </c>
      <c r="C80" s="2"/>
      <c r="D80" s="2"/>
      <c r="E80" s="2"/>
      <c r="F80" s="2" t="s">
        <v>67</v>
      </c>
      <c r="G80" s="2"/>
      <c r="H80" s="2" t="s">
        <v>13</v>
      </c>
      <c r="I80" s="2" t="s">
        <v>13</v>
      </c>
      <c r="J80" s="2" t="s">
        <v>102</v>
      </c>
    </row>
    <row r="81" spans="1:10" x14ac:dyDescent="0.4">
      <c r="A81" s="2"/>
      <c r="B81" s="2" t="s">
        <v>11</v>
      </c>
      <c r="C81" s="2"/>
      <c r="D81" s="2"/>
      <c r="E81" s="2"/>
      <c r="F81" s="2" t="s">
        <v>12</v>
      </c>
      <c r="G81" s="2"/>
      <c r="H81" s="2" t="s">
        <v>13</v>
      </c>
      <c r="I81" s="2" t="s">
        <v>13</v>
      </c>
      <c r="J81" s="2" t="s">
        <v>102</v>
      </c>
    </row>
    <row r="82" spans="1:10" x14ac:dyDescent="0.4">
      <c r="A82" s="2" t="s">
        <v>14</v>
      </c>
      <c r="B82" s="2"/>
      <c r="C82" s="2"/>
      <c r="D82" s="2" t="s">
        <v>15</v>
      </c>
      <c r="E82" s="2"/>
      <c r="F82" s="2" t="s">
        <v>16</v>
      </c>
      <c r="G82" s="2"/>
      <c r="H82" s="2" t="s">
        <v>13</v>
      </c>
      <c r="I82" s="2" t="s">
        <v>13</v>
      </c>
      <c r="J82" s="2" t="s">
        <v>102</v>
      </c>
    </row>
    <row r="83" spans="1:10" x14ac:dyDescent="0.4">
      <c r="A83" s="2" t="s">
        <v>14</v>
      </c>
      <c r="B83" s="2"/>
      <c r="C83" s="2"/>
      <c r="D83" s="2" t="s">
        <v>17</v>
      </c>
      <c r="E83" s="2"/>
      <c r="F83" s="2" t="s">
        <v>18</v>
      </c>
      <c r="G83" s="2"/>
      <c r="H83" s="2" t="s">
        <v>13</v>
      </c>
      <c r="I83" s="2" t="s">
        <v>13</v>
      </c>
      <c r="J83" s="2" t="s">
        <v>102</v>
      </c>
    </row>
    <row r="84" spans="1:10" x14ac:dyDescent="0.4">
      <c r="A84" s="2" t="s">
        <v>14</v>
      </c>
      <c r="B84" s="2"/>
      <c r="C84" s="2"/>
      <c r="D84" s="2" t="s">
        <v>19</v>
      </c>
      <c r="E84" s="2"/>
      <c r="F84" s="2" t="s">
        <v>20</v>
      </c>
      <c r="G84" s="2"/>
      <c r="H84" s="2" t="s">
        <v>13</v>
      </c>
      <c r="I84" s="2" t="s">
        <v>13</v>
      </c>
      <c r="J84" s="2" t="s">
        <v>102</v>
      </c>
    </row>
    <row r="85" spans="1:10" x14ac:dyDescent="0.4">
      <c r="A85" s="2" t="s">
        <v>14</v>
      </c>
      <c r="B85" s="2"/>
      <c r="C85" s="2"/>
      <c r="D85" s="2" t="s">
        <v>21</v>
      </c>
      <c r="E85" s="2"/>
      <c r="F85" s="2" t="s">
        <v>22</v>
      </c>
      <c r="G85" s="2"/>
      <c r="H85" s="2" t="s">
        <v>13</v>
      </c>
      <c r="I85" s="2" t="s">
        <v>13</v>
      </c>
      <c r="J85" s="2" t="s">
        <v>102</v>
      </c>
    </row>
    <row r="86" spans="1:10" x14ac:dyDescent="0.4">
      <c r="A86" s="2" t="s">
        <v>14</v>
      </c>
      <c r="B86" s="2"/>
      <c r="C86" s="2"/>
      <c r="D86" s="2" t="s">
        <v>23</v>
      </c>
      <c r="E86" s="2"/>
      <c r="F86" s="2" t="s">
        <v>24</v>
      </c>
      <c r="G86" s="2"/>
      <c r="H86" s="2" t="s">
        <v>13</v>
      </c>
      <c r="I86" s="2" t="s">
        <v>13</v>
      </c>
      <c r="J86" s="2" t="s">
        <v>102</v>
      </c>
    </row>
    <row r="87" spans="1:10" x14ac:dyDescent="0.4">
      <c r="A87" s="2" t="s">
        <v>14</v>
      </c>
      <c r="B87" s="2"/>
      <c r="C87" s="2"/>
      <c r="D87" s="2" t="s">
        <v>25</v>
      </c>
      <c r="E87" s="2"/>
      <c r="F87" s="2" t="s">
        <v>26</v>
      </c>
      <c r="G87" s="2"/>
      <c r="H87" s="2" t="s">
        <v>13</v>
      </c>
      <c r="I87" s="2" t="s">
        <v>13</v>
      </c>
      <c r="J87" s="2" t="s">
        <v>102</v>
      </c>
    </row>
    <row r="88" spans="1:10" x14ac:dyDescent="0.4">
      <c r="A88" s="2" t="s">
        <v>14</v>
      </c>
      <c r="B88" s="2"/>
      <c r="C88" s="2"/>
      <c r="D88" s="2" t="s">
        <v>27</v>
      </c>
      <c r="E88" s="2"/>
      <c r="F88" s="2" t="s">
        <v>28</v>
      </c>
      <c r="G88" s="2"/>
      <c r="H88" s="2" t="s">
        <v>13</v>
      </c>
      <c r="I88" s="2" t="s">
        <v>13</v>
      </c>
      <c r="J88" s="2" t="s">
        <v>102</v>
      </c>
    </row>
    <row r="89" spans="1:10" x14ac:dyDescent="0.4">
      <c r="A89" s="2" t="s">
        <v>14</v>
      </c>
      <c r="B89" s="2"/>
      <c r="C89" s="2"/>
      <c r="D89" s="2" t="s">
        <v>29</v>
      </c>
      <c r="E89" s="2"/>
      <c r="F89" s="2" t="s">
        <v>30</v>
      </c>
      <c r="G89" s="2"/>
      <c r="H89" s="2" t="s">
        <v>13</v>
      </c>
      <c r="I89" s="2" t="s">
        <v>13</v>
      </c>
      <c r="J89" s="2" t="s">
        <v>102</v>
      </c>
    </row>
    <row r="90" spans="1:10" x14ac:dyDescent="0.4">
      <c r="A90" s="2" t="s">
        <v>14</v>
      </c>
      <c r="B90" s="2"/>
      <c r="C90" s="2"/>
      <c r="D90" s="2" t="s">
        <v>31</v>
      </c>
      <c r="E90" s="2"/>
      <c r="F90" s="2" t="s">
        <v>32</v>
      </c>
      <c r="G90" s="2"/>
      <c r="H90" s="2" t="s">
        <v>13</v>
      </c>
      <c r="I90" s="2" t="s">
        <v>13</v>
      </c>
      <c r="J90" s="2" t="s">
        <v>102</v>
      </c>
    </row>
    <row r="91" spans="1:10" x14ac:dyDescent="0.4">
      <c r="A91" s="2" t="s">
        <v>14</v>
      </c>
      <c r="B91" s="2"/>
      <c r="C91" s="2"/>
      <c r="D91" s="2" t="s">
        <v>33</v>
      </c>
      <c r="E91" s="2"/>
      <c r="F91" s="2" t="s">
        <v>34</v>
      </c>
      <c r="G91" s="2"/>
      <c r="H91" s="2" t="s">
        <v>13</v>
      </c>
      <c r="I91" s="2" t="s">
        <v>13</v>
      </c>
      <c r="J91" s="2" t="s">
        <v>102</v>
      </c>
    </row>
    <row r="92" spans="1:10" x14ac:dyDescent="0.4">
      <c r="A92" s="2"/>
      <c r="B92" s="2" t="s">
        <v>35</v>
      </c>
      <c r="C92" s="2"/>
      <c r="D92" s="2"/>
      <c r="E92" s="2"/>
      <c r="F92" s="2" t="s">
        <v>36</v>
      </c>
      <c r="G92" s="2"/>
      <c r="H92" s="2" t="s">
        <v>13</v>
      </c>
      <c r="I92" s="2" t="s">
        <v>13</v>
      </c>
      <c r="J92" s="2" t="s">
        <v>102</v>
      </c>
    </row>
    <row r="93" spans="1:10" x14ac:dyDescent="0.4">
      <c r="A93" s="2" t="s">
        <v>37</v>
      </c>
      <c r="B93" s="2"/>
      <c r="C93" s="2"/>
      <c r="D93" s="2"/>
      <c r="E93" s="2" t="s">
        <v>38</v>
      </c>
      <c r="F93" s="2" t="s">
        <v>39</v>
      </c>
      <c r="G93" s="2"/>
      <c r="H93" s="2" t="s">
        <v>13</v>
      </c>
      <c r="I93" s="2" t="s">
        <v>13</v>
      </c>
      <c r="J93" s="2" t="s">
        <v>102</v>
      </c>
    </row>
    <row r="94" spans="1:10" x14ac:dyDescent="0.4">
      <c r="A94" s="2" t="s">
        <v>37</v>
      </c>
      <c r="B94" s="2"/>
      <c r="C94" s="2"/>
      <c r="D94" s="2"/>
      <c r="E94" s="2" t="s">
        <v>40</v>
      </c>
      <c r="F94" s="2" t="s">
        <v>41</v>
      </c>
      <c r="G94" s="2"/>
      <c r="H94" s="2" t="s">
        <v>13</v>
      </c>
      <c r="I94" s="2" t="s">
        <v>13</v>
      </c>
      <c r="J94" s="2" t="s">
        <v>102</v>
      </c>
    </row>
    <row r="95" spans="1:10" x14ac:dyDescent="0.4">
      <c r="A95" s="2" t="s">
        <v>37</v>
      </c>
      <c r="B95" s="2"/>
      <c r="C95" s="2"/>
      <c r="D95" s="2"/>
      <c r="E95" s="2" t="s">
        <v>42</v>
      </c>
      <c r="F95" s="2" t="s">
        <v>43</v>
      </c>
      <c r="G95" s="2"/>
      <c r="H95" s="2" t="s">
        <v>13</v>
      </c>
      <c r="I95" s="2" t="s">
        <v>13</v>
      </c>
      <c r="J95" s="2" t="s">
        <v>102</v>
      </c>
    </row>
    <row r="96" spans="1:10" x14ac:dyDescent="0.4">
      <c r="A96" s="2" t="s">
        <v>37</v>
      </c>
      <c r="B96" s="2"/>
      <c r="C96" s="2"/>
      <c r="D96" s="2"/>
      <c r="E96" s="2" t="s">
        <v>44</v>
      </c>
      <c r="F96" s="2" t="s">
        <v>45</v>
      </c>
      <c r="G96" s="2"/>
      <c r="H96" s="2" t="s">
        <v>13</v>
      </c>
      <c r="I96" s="2" t="s">
        <v>13</v>
      </c>
      <c r="J96" s="2" t="s">
        <v>102</v>
      </c>
    </row>
    <row r="97" spans="1:10" x14ac:dyDescent="0.4">
      <c r="A97" s="2" t="s">
        <v>37</v>
      </c>
      <c r="B97" s="2"/>
      <c r="C97" s="2"/>
      <c r="D97" s="2"/>
      <c r="E97" s="2" t="s">
        <v>46</v>
      </c>
      <c r="F97" s="2" t="s">
        <v>47</v>
      </c>
      <c r="G97" s="2"/>
      <c r="H97" s="2" t="s">
        <v>13</v>
      </c>
      <c r="I97" s="2" t="s">
        <v>13</v>
      </c>
      <c r="J97" s="2" t="s">
        <v>102</v>
      </c>
    </row>
    <row r="98" spans="1:10" x14ac:dyDescent="0.4">
      <c r="A98" s="2"/>
      <c r="B98" s="2" t="s">
        <v>48</v>
      </c>
      <c r="C98" s="2"/>
      <c r="D98" s="2"/>
      <c r="E98" s="2"/>
      <c r="F98" s="2" t="s">
        <v>49</v>
      </c>
      <c r="G98" s="2"/>
      <c r="H98" s="2" t="s">
        <v>13</v>
      </c>
      <c r="I98" s="2" t="s">
        <v>13</v>
      </c>
      <c r="J98" s="2" t="s">
        <v>102</v>
      </c>
    </row>
    <row r="99" spans="1:10" x14ac:dyDescent="0.4">
      <c r="A99" s="2"/>
      <c r="B99" s="2" t="s">
        <v>50</v>
      </c>
      <c r="C99" s="2"/>
      <c r="D99" s="2"/>
      <c r="E99" s="2"/>
      <c r="F99" s="2" t="s">
        <v>51</v>
      </c>
      <c r="G99" s="2"/>
      <c r="H99" s="2" t="s">
        <v>13</v>
      </c>
      <c r="I99" s="2" t="s">
        <v>13</v>
      </c>
      <c r="J99" s="2" t="s">
        <v>102</v>
      </c>
    </row>
    <row r="100" spans="1:10" x14ac:dyDescent="0.4">
      <c r="A100" s="2" t="s">
        <v>52</v>
      </c>
      <c r="B100" s="2" t="s">
        <v>53</v>
      </c>
      <c r="C100" s="2"/>
      <c r="D100" s="2"/>
      <c r="E100" s="2"/>
      <c r="F100" s="2" t="s">
        <v>54</v>
      </c>
      <c r="G100" s="2"/>
      <c r="H100" s="2" t="s">
        <v>13</v>
      </c>
      <c r="I100" s="2" t="s">
        <v>13</v>
      </c>
      <c r="J100" s="2" t="s">
        <v>102</v>
      </c>
    </row>
    <row r="101" spans="1:10" x14ac:dyDescent="0.4">
      <c r="A101" s="2" t="s">
        <v>14</v>
      </c>
      <c r="B101" s="2"/>
      <c r="C101" s="2"/>
      <c r="D101" s="2" t="s">
        <v>55</v>
      </c>
      <c r="E101" s="2"/>
      <c r="F101" s="2" t="s">
        <v>56</v>
      </c>
      <c r="G101" s="2"/>
      <c r="H101" s="2" t="s">
        <v>13</v>
      </c>
      <c r="I101" s="2" t="s">
        <v>13</v>
      </c>
      <c r="J101" s="2" t="s">
        <v>102</v>
      </c>
    </row>
    <row r="102" spans="1:10" x14ac:dyDescent="0.4">
      <c r="A102" s="2" t="s">
        <v>14</v>
      </c>
      <c r="B102" s="2"/>
      <c r="C102" s="2"/>
      <c r="D102" s="2" t="s">
        <v>57</v>
      </c>
      <c r="E102" s="2"/>
      <c r="F102" s="2" t="s">
        <v>58</v>
      </c>
      <c r="G102" s="2"/>
      <c r="H102" s="2" t="s">
        <v>13</v>
      </c>
      <c r="I102" s="2" t="s">
        <v>13</v>
      </c>
      <c r="J102" s="2" t="s">
        <v>102</v>
      </c>
    </row>
    <row r="103" spans="1:10" x14ac:dyDescent="0.4">
      <c r="A103" s="2" t="s">
        <v>59</v>
      </c>
      <c r="B103" s="2" t="s">
        <v>60</v>
      </c>
      <c r="C103" s="2"/>
      <c r="D103" s="2"/>
      <c r="E103" s="2"/>
      <c r="F103" s="2" t="s">
        <v>61</v>
      </c>
      <c r="G103" s="2"/>
      <c r="H103" s="2" t="s">
        <v>13</v>
      </c>
      <c r="I103" s="2" t="s">
        <v>13</v>
      </c>
      <c r="J103" s="2" t="s">
        <v>102</v>
      </c>
    </row>
    <row r="104" spans="1:10" x14ac:dyDescent="0.4">
      <c r="A104" s="2" t="s">
        <v>14</v>
      </c>
      <c r="B104" s="2"/>
      <c r="C104" s="2"/>
      <c r="D104" s="2" t="s">
        <v>62</v>
      </c>
      <c r="E104" s="2"/>
      <c r="F104" s="2" t="s">
        <v>63</v>
      </c>
      <c r="G104" s="2"/>
      <c r="H104" s="2" t="s">
        <v>13</v>
      </c>
      <c r="I104" s="2" t="s">
        <v>13</v>
      </c>
      <c r="J104" s="2" t="s">
        <v>102</v>
      </c>
    </row>
    <row r="105" spans="1:10" x14ac:dyDescent="0.4">
      <c r="A105" s="2" t="s">
        <v>14</v>
      </c>
      <c r="B105" s="2" t="s">
        <v>64</v>
      </c>
      <c r="C105" s="2"/>
      <c r="D105" s="2"/>
      <c r="E105" s="2"/>
      <c r="F105" s="2" t="s">
        <v>65</v>
      </c>
      <c r="G105" s="2"/>
      <c r="H105" s="2" t="s">
        <v>13</v>
      </c>
      <c r="I105" s="2" t="s">
        <v>13</v>
      </c>
      <c r="J105" s="2" t="s">
        <v>102</v>
      </c>
    </row>
    <row r="106" spans="1:10" x14ac:dyDescent="0.4">
      <c r="A106" s="2" t="s">
        <v>52</v>
      </c>
      <c r="B106" s="2" t="s">
        <v>66</v>
      </c>
      <c r="C106" s="2"/>
      <c r="D106" s="2"/>
      <c r="E106" s="2"/>
      <c r="F106" s="2" t="s">
        <v>67</v>
      </c>
      <c r="G106" s="2"/>
      <c r="H106" s="2" t="s">
        <v>13</v>
      </c>
      <c r="I106" s="2" t="s">
        <v>13</v>
      </c>
      <c r="J106" s="2" t="s">
        <v>102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63227-568C-46DF-958A-CFC24654ABFF}">
  <sheetPr codeName="Sheet3">
    <tabColor rgb="FF7030A0"/>
  </sheetPr>
  <dimension ref="A1:L63"/>
  <sheetViews>
    <sheetView zoomScaleNormal="100" workbookViewId="0">
      <selection activeCell="A12" sqref="A12"/>
    </sheetView>
  </sheetViews>
  <sheetFormatPr defaultRowHeight="14.6" x14ac:dyDescent="0.4"/>
  <cols>
    <col min="1" max="1" width="9.53515625" bestFit="1" customWidth="1"/>
    <col min="2" max="2" width="10.3828125" bestFit="1" customWidth="1"/>
    <col min="3" max="3" width="11.69140625" bestFit="1" customWidth="1"/>
    <col min="4" max="4" width="3.765625" customWidth="1"/>
    <col min="5" max="5" width="9.53515625" bestFit="1" customWidth="1"/>
    <col min="6" max="6" width="31.53515625" bestFit="1" customWidth="1"/>
    <col min="7" max="7" width="10.84375" bestFit="1" customWidth="1"/>
    <col min="8" max="8" width="27.3046875" customWidth="1"/>
    <col min="11" max="11" width="13.23046875" customWidth="1"/>
  </cols>
  <sheetData>
    <row r="1" spans="1:12" x14ac:dyDescent="0.4">
      <c r="E1" t="s">
        <v>68</v>
      </c>
    </row>
    <row r="2" spans="1:12" x14ac:dyDescent="0.4">
      <c r="A2" s="3" t="s">
        <v>104</v>
      </c>
      <c r="B2" s="3" t="s">
        <v>105</v>
      </c>
      <c r="C2" s="3" t="s">
        <v>106</v>
      </c>
      <c r="E2" s="1" t="s">
        <v>6</v>
      </c>
      <c r="F2" s="1" t="s">
        <v>7</v>
      </c>
      <c r="G2" s="1" t="s">
        <v>69</v>
      </c>
      <c r="H2" s="1" t="s">
        <v>70</v>
      </c>
      <c r="I2" s="1" t="s">
        <v>71</v>
      </c>
      <c r="J2" s="1" t="s">
        <v>8</v>
      </c>
      <c r="K2" s="1" t="s">
        <v>9</v>
      </c>
      <c r="L2" s="1" t="s">
        <v>10</v>
      </c>
    </row>
    <row r="3" spans="1:12" x14ac:dyDescent="0.4">
      <c r="A3" t="s">
        <v>74</v>
      </c>
      <c r="B3" t="s">
        <v>112</v>
      </c>
      <c r="C3" t="s">
        <v>111</v>
      </c>
      <c r="E3" t="str">
        <f>IF(A3="","",A3)</f>
        <v>NRG_ELC</v>
      </c>
      <c r="F3" t="str">
        <f>IF(B3="","",B3&amp;" [TIMESreport "&amp;C3&amp;"]")</f>
        <v>Electricity [TIMESreport comgroup]</v>
      </c>
      <c r="G3" t="s">
        <v>124</v>
      </c>
      <c r="H3" t="s">
        <v>134</v>
      </c>
      <c r="J3" t="s">
        <v>13</v>
      </c>
      <c r="K3" t="s">
        <v>13</v>
      </c>
    </row>
    <row r="4" spans="1:12" x14ac:dyDescent="0.4">
      <c r="A4" t="s">
        <v>75</v>
      </c>
      <c r="B4" t="s">
        <v>113</v>
      </c>
      <c r="C4" t="s">
        <v>111</v>
      </c>
      <c r="E4" t="str">
        <f t="shared" ref="E4:E63" si="0">IF(A4="","",A4)</f>
        <v>NRG_GAS</v>
      </c>
      <c r="F4" t="str">
        <f t="shared" ref="F4:F63" si="1">IF(B4="","",B4&amp;" [TIMESreport "&amp;C4&amp;"]")</f>
        <v>Gas [TIMESreport comgroup]</v>
      </c>
      <c r="G4" t="s">
        <v>124</v>
      </c>
      <c r="H4" t="s">
        <v>21</v>
      </c>
      <c r="J4" t="s">
        <v>13</v>
      </c>
      <c r="K4" t="s">
        <v>13</v>
      </c>
    </row>
    <row r="5" spans="1:12" x14ac:dyDescent="0.4">
      <c r="A5" t="s">
        <v>78</v>
      </c>
      <c r="B5" t="s">
        <v>114</v>
      </c>
      <c r="C5" t="s">
        <v>111</v>
      </c>
      <c r="E5" t="str">
        <f t="shared" si="0"/>
        <v>NRG_NUK</v>
      </c>
      <c r="F5" t="str">
        <f t="shared" si="1"/>
        <v>Nuclear [TIMESreport comgroup]</v>
      </c>
      <c r="G5" t="s">
        <v>124</v>
      </c>
      <c r="H5" t="s">
        <v>25</v>
      </c>
      <c r="J5" t="s">
        <v>13</v>
      </c>
      <c r="K5" t="s">
        <v>13</v>
      </c>
    </row>
    <row r="6" spans="1:12" x14ac:dyDescent="0.4">
      <c r="A6" t="s">
        <v>125</v>
      </c>
      <c r="B6" t="s">
        <v>115</v>
      </c>
      <c r="C6" t="s">
        <v>111</v>
      </c>
      <c r="E6" t="str">
        <f t="shared" si="0"/>
        <v>NRG_OIL</v>
      </c>
      <c r="F6" t="str">
        <f t="shared" si="1"/>
        <v>Oil [TIMESreport comgroup]</v>
      </c>
      <c r="G6" t="s">
        <v>124</v>
      </c>
      <c r="H6" t="s">
        <v>79</v>
      </c>
      <c r="J6" t="s">
        <v>13</v>
      </c>
      <c r="K6" t="s">
        <v>13</v>
      </c>
    </row>
    <row r="7" spans="1:12" x14ac:dyDescent="0.4">
      <c r="A7" t="s">
        <v>82</v>
      </c>
      <c r="B7" t="s">
        <v>116</v>
      </c>
      <c r="C7" t="s">
        <v>111</v>
      </c>
      <c r="E7" t="str">
        <f t="shared" si="0"/>
        <v>NRG_RNW</v>
      </c>
      <c r="F7" t="str">
        <f t="shared" si="1"/>
        <v>Renewable [TIMESreport comgroup]</v>
      </c>
      <c r="G7" t="s">
        <v>124</v>
      </c>
      <c r="H7" t="s">
        <v>242</v>
      </c>
      <c r="J7" t="s">
        <v>13</v>
      </c>
      <c r="K7" t="s">
        <v>13</v>
      </c>
    </row>
    <row r="8" spans="1:12" x14ac:dyDescent="0.4">
      <c r="A8" t="s">
        <v>126</v>
      </c>
      <c r="B8" t="s">
        <v>127</v>
      </c>
      <c r="C8" t="s">
        <v>111</v>
      </c>
      <c r="E8" t="str">
        <f t="shared" si="0"/>
        <v>NRG_COA</v>
      </c>
      <c r="F8" t="str">
        <f t="shared" si="1"/>
        <v>Coal [TIMESreport comgroup]</v>
      </c>
      <c r="G8" t="s">
        <v>124</v>
      </c>
      <c r="H8" t="s">
        <v>19</v>
      </c>
      <c r="J8" t="s">
        <v>13</v>
      </c>
      <c r="K8" t="s">
        <v>13</v>
      </c>
    </row>
    <row r="9" spans="1:12" x14ac:dyDescent="0.4">
      <c r="A9" t="s">
        <v>237</v>
      </c>
      <c r="B9" t="s">
        <v>218</v>
      </c>
      <c r="C9" t="s">
        <v>111</v>
      </c>
      <c r="E9" t="str">
        <f t="shared" si="0"/>
        <v>NRG_BIO</v>
      </c>
      <c r="F9" t="str">
        <f t="shared" si="1"/>
        <v>Biomass [TIMESreport comgroup]</v>
      </c>
      <c r="G9" t="s">
        <v>124</v>
      </c>
      <c r="H9" t="s">
        <v>243</v>
      </c>
      <c r="J9" t="s">
        <v>13</v>
      </c>
      <c r="K9" t="s">
        <v>13</v>
      </c>
    </row>
    <row r="10" spans="1:12" x14ac:dyDescent="0.4">
      <c r="A10" t="s">
        <v>244</v>
      </c>
      <c r="B10" s="6" t="s">
        <v>257</v>
      </c>
      <c r="C10" t="s">
        <v>111</v>
      </c>
      <c r="E10" t="str">
        <f t="shared" si="0"/>
        <v>ENV_CO2</v>
      </c>
      <c r="F10" t="str">
        <f t="shared" si="1"/>
        <v>GHG-emission [TIMESreport comgroup]</v>
      </c>
      <c r="G10" t="s">
        <v>245</v>
      </c>
      <c r="H10" t="s">
        <v>246</v>
      </c>
      <c r="J10" t="s">
        <v>13</v>
      </c>
      <c r="K10" t="s">
        <v>13</v>
      </c>
    </row>
    <row r="11" spans="1:12" x14ac:dyDescent="0.4">
      <c r="A11" t="s">
        <v>254</v>
      </c>
      <c r="B11" t="s">
        <v>255</v>
      </c>
      <c r="C11" t="s">
        <v>111</v>
      </c>
      <c r="E11" t="str">
        <f t="shared" si="0"/>
        <v>DEM_COM</v>
      </c>
      <c r="F11" t="str">
        <f t="shared" si="1"/>
        <v>Demand commodity [TIMESreport comgroup]</v>
      </c>
      <c r="G11" t="s">
        <v>256</v>
      </c>
      <c r="H11" t="s">
        <v>259</v>
      </c>
      <c r="J11" t="s">
        <v>13</v>
      </c>
      <c r="K11" t="s">
        <v>13</v>
      </c>
    </row>
    <row r="12" spans="1:12" x14ac:dyDescent="0.4">
      <c r="E12" t="str">
        <f t="shared" si="0"/>
        <v/>
      </c>
      <c r="F12" t="str">
        <f t="shared" si="1"/>
        <v/>
      </c>
    </row>
    <row r="13" spans="1:12" x14ac:dyDescent="0.4">
      <c r="E13" t="str">
        <f t="shared" si="0"/>
        <v/>
      </c>
      <c r="F13" t="str">
        <f t="shared" si="1"/>
        <v/>
      </c>
    </row>
    <row r="14" spans="1:12" x14ac:dyDescent="0.4">
      <c r="E14" t="str">
        <f t="shared" si="0"/>
        <v/>
      </c>
      <c r="F14" t="str">
        <f t="shared" si="1"/>
        <v/>
      </c>
    </row>
    <row r="15" spans="1:12" x14ac:dyDescent="0.4">
      <c r="E15" t="str">
        <f t="shared" si="0"/>
        <v/>
      </c>
      <c r="F15" t="str">
        <f t="shared" si="1"/>
        <v/>
      </c>
    </row>
    <row r="16" spans="1:12" x14ac:dyDescent="0.4">
      <c r="E16" t="str">
        <f t="shared" si="0"/>
        <v/>
      </c>
      <c r="F16" t="str">
        <f t="shared" si="1"/>
        <v/>
      </c>
    </row>
    <row r="17" spans="5:6" x14ac:dyDescent="0.4">
      <c r="E17" t="str">
        <f t="shared" si="0"/>
        <v/>
      </c>
      <c r="F17" t="str">
        <f t="shared" si="1"/>
        <v/>
      </c>
    </row>
    <row r="18" spans="5:6" x14ac:dyDescent="0.4">
      <c r="E18" t="str">
        <f t="shared" si="0"/>
        <v/>
      </c>
      <c r="F18" t="str">
        <f t="shared" si="1"/>
        <v/>
      </c>
    </row>
    <row r="19" spans="5:6" x14ac:dyDescent="0.4">
      <c r="E19" t="str">
        <f t="shared" si="0"/>
        <v/>
      </c>
      <c r="F19" t="str">
        <f t="shared" si="1"/>
        <v/>
      </c>
    </row>
    <row r="20" spans="5:6" x14ac:dyDescent="0.4">
      <c r="E20" t="str">
        <f t="shared" si="0"/>
        <v/>
      </c>
      <c r="F20" t="str">
        <f t="shared" si="1"/>
        <v/>
      </c>
    </row>
    <row r="21" spans="5:6" x14ac:dyDescent="0.4">
      <c r="E21" t="str">
        <f t="shared" si="0"/>
        <v/>
      </c>
      <c r="F21" t="str">
        <f t="shared" si="1"/>
        <v/>
      </c>
    </row>
    <row r="22" spans="5:6" x14ac:dyDescent="0.4">
      <c r="E22" t="str">
        <f t="shared" si="0"/>
        <v/>
      </c>
      <c r="F22" t="str">
        <f t="shared" si="1"/>
        <v/>
      </c>
    </row>
    <row r="23" spans="5:6" x14ac:dyDescent="0.4">
      <c r="E23" t="str">
        <f t="shared" si="0"/>
        <v/>
      </c>
      <c r="F23" t="str">
        <f t="shared" si="1"/>
        <v/>
      </c>
    </row>
    <row r="24" spans="5:6" x14ac:dyDescent="0.4">
      <c r="E24" t="str">
        <f t="shared" si="0"/>
        <v/>
      </c>
      <c r="F24" t="str">
        <f t="shared" si="1"/>
        <v/>
      </c>
    </row>
    <row r="25" spans="5:6" x14ac:dyDescent="0.4">
      <c r="E25" t="str">
        <f t="shared" si="0"/>
        <v/>
      </c>
      <c r="F25" t="str">
        <f t="shared" si="1"/>
        <v/>
      </c>
    </row>
    <row r="26" spans="5:6" x14ac:dyDescent="0.4">
      <c r="E26" t="str">
        <f t="shared" si="0"/>
        <v/>
      </c>
      <c r="F26" t="str">
        <f t="shared" si="1"/>
        <v/>
      </c>
    </row>
    <row r="27" spans="5:6" x14ac:dyDescent="0.4">
      <c r="E27" t="str">
        <f t="shared" si="0"/>
        <v/>
      </c>
      <c r="F27" t="str">
        <f t="shared" si="1"/>
        <v/>
      </c>
    </row>
    <row r="28" spans="5:6" x14ac:dyDescent="0.4">
      <c r="E28" t="str">
        <f t="shared" si="0"/>
        <v/>
      </c>
      <c r="F28" t="str">
        <f t="shared" si="1"/>
        <v/>
      </c>
    </row>
    <row r="29" spans="5:6" x14ac:dyDescent="0.4">
      <c r="E29" t="str">
        <f t="shared" si="0"/>
        <v/>
      </c>
      <c r="F29" t="str">
        <f t="shared" si="1"/>
        <v/>
      </c>
    </row>
    <row r="30" spans="5:6" x14ac:dyDescent="0.4">
      <c r="E30" t="str">
        <f t="shared" si="0"/>
        <v/>
      </c>
      <c r="F30" t="str">
        <f t="shared" si="1"/>
        <v/>
      </c>
    </row>
    <row r="31" spans="5:6" x14ac:dyDescent="0.4">
      <c r="E31" t="str">
        <f t="shared" si="0"/>
        <v/>
      </c>
      <c r="F31" t="str">
        <f t="shared" si="1"/>
        <v/>
      </c>
    </row>
    <row r="32" spans="5:6" x14ac:dyDescent="0.4">
      <c r="E32" t="str">
        <f t="shared" si="0"/>
        <v/>
      </c>
      <c r="F32" t="str">
        <f t="shared" si="1"/>
        <v/>
      </c>
    </row>
    <row r="33" spans="5:6" x14ac:dyDescent="0.4">
      <c r="E33" t="str">
        <f t="shared" si="0"/>
        <v/>
      </c>
      <c r="F33" t="str">
        <f t="shared" si="1"/>
        <v/>
      </c>
    </row>
    <row r="34" spans="5:6" x14ac:dyDescent="0.4">
      <c r="E34" t="str">
        <f t="shared" si="0"/>
        <v/>
      </c>
      <c r="F34" t="str">
        <f t="shared" si="1"/>
        <v/>
      </c>
    </row>
    <row r="35" spans="5:6" x14ac:dyDescent="0.4">
      <c r="E35" t="str">
        <f t="shared" si="0"/>
        <v/>
      </c>
      <c r="F35" t="str">
        <f t="shared" si="1"/>
        <v/>
      </c>
    </row>
    <row r="36" spans="5:6" x14ac:dyDescent="0.4">
      <c r="E36" t="str">
        <f t="shared" si="0"/>
        <v/>
      </c>
      <c r="F36" t="str">
        <f t="shared" si="1"/>
        <v/>
      </c>
    </row>
    <row r="37" spans="5:6" x14ac:dyDescent="0.4">
      <c r="E37" t="str">
        <f t="shared" si="0"/>
        <v/>
      </c>
      <c r="F37" t="str">
        <f t="shared" si="1"/>
        <v/>
      </c>
    </row>
    <row r="38" spans="5:6" x14ac:dyDescent="0.4">
      <c r="E38" t="str">
        <f t="shared" si="0"/>
        <v/>
      </c>
      <c r="F38" t="str">
        <f t="shared" si="1"/>
        <v/>
      </c>
    </row>
    <row r="39" spans="5:6" x14ac:dyDescent="0.4">
      <c r="E39" t="str">
        <f t="shared" si="0"/>
        <v/>
      </c>
      <c r="F39" t="str">
        <f t="shared" si="1"/>
        <v/>
      </c>
    </row>
    <row r="40" spans="5:6" x14ac:dyDescent="0.4">
      <c r="E40" t="str">
        <f t="shared" si="0"/>
        <v/>
      </c>
      <c r="F40" t="str">
        <f t="shared" si="1"/>
        <v/>
      </c>
    </row>
    <row r="41" spans="5:6" x14ac:dyDescent="0.4">
      <c r="E41" t="str">
        <f t="shared" si="0"/>
        <v/>
      </c>
      <c r="F41" t="str">
        <f t="shared" si="1"/>
        <v/>
      </c>
    </row>
    <row r="42" spans="5:6" x14ac:dyDescent="0.4">
      <c r="E42" t="str">
        <f t="shared" si="0"/>
        <v/>
      </c>
      <c r="F42" t="str">
        <f t="shared" si="1"/>
        <v/>
      </c>
    </row>
    <row r="43" spans="5:6" x14ac:dyDescent="0.4">
      <c r="E43" t="str">
        <f t="shared" si="0"/>
        <v/>
      </c>
      <c r="F43" t="str">
        <f t="shared" si="1"/>
        <v/>
      </c>
    </row>
    <row r="44" spans="5:6" x14ac:dyDescent="0.4">
      <c r="E44" t="str">
        <f t="shared" si="0"/>
        <v/>
      </c>
      <c r="F44" t="str">
        <f t="shared" si="1"/>
        <v/>
      </c>
    </row>
    <row r="45" spans="5:6" x14ac:dyDescent="0.4">
      <c r="E45" t="str">
        <f t="shared" si="0"/>
        <v/>
      </c>
      <c r="F45" t="str">
        <f t="shared" si="1"/>
        <v/>
      </c>
    </row>
    <row r="46" spans="5:6" x14ac:dyDescent="0.4">
      <c r="E46" t="str">
        <f t="shared" si="0"/>
        <v/>
      </c>
      <c r="F46" t="str">
        <f t="shared" si="1"/>
        <v/>
      </c>
    </row>
    <row r="47" spans="5:6" x14ac:dyDescent="0.4">
      <c r="E47" t="str">
        <f t="shared" si="0"/>
        <v/>
      </c>
      <c r="F47" t="str">
        <f t="shared" si="1"/>
        <v/>
      </c>
    </row>
    <row r="48" spans="5:6" x14ac:dyDescent="0.4">
      <c r="E48" t="str">
        <f t="shared" si="0"/>
        <v/>
      </c>
      <c r="F48" t="str">
        <f t="shared" si="1"/>
        <v/>
      </c>
    </row>
    <row r="49" spans="5:6" x14ac:dyDescent="0.4">
      <c r="E49" t="str">
        <f t="shared" si="0"/>
        <v/>
      </c>
      <c r="F49" t="str">
        <f t="shared" si="1"/>
        <v/>
      </c>
    </row>
    <row r="50" spans="5:6" x14ac:dyDescent="0.4">
      <c r="E50" t="str">
        <f t="shared" si="0"/>
        <v/>
      </c>
      <c r="F50" t="str">
        <f t="shared" si="1"/>
        <v/>
      </c>
    </row>
    <row r="51" spans="5:6" x14ac:dyDescent="0.4">
      <c r="E51" t="str">
        <f t="shared" si="0"/>
        <v/>
      </c>
      <c r="F51" t="str">
        <f t="shared" si="1"/>
        <v/>
      </c>
    </row>
    <row r="52" spans="5:6" x14ac:dyDescent="0.4">
      <c r="E52" t="str">
        <f t="shared" si="0"/>
        <v/>
      </c>
      <c r="F52" t="str">
        <f t="shared" si="1"/>
        <v/>
      </c>
    </row>
    <row r="53" spans="5:6" x14ac:dyDescent="0.4">
      <c r="E53" t="str">
        <f t="shared" si="0"/>
        <v/>
      </c>
      <c r="F53" t="str">
        <f t="shared" si="1"/>
        <v/>
      </c>
    </row>
    <row r="54" spans="5:6" x14ac:dyDescent="0.4">
      <c r="E54" t="str">
        <f t="shared" si="0"/>
        <v/>
      </c>
      <c r="F54" t="str">
        <f t="shared" si="1"/>
        <v/>
      </c>
    </row>
    <row r="55" spans="5:6" x14ac:dyDescent="0.4">
      <c r="E55" t="str">
        <f t="shared" si="0"/>
        <v/>
      </c>
      <c r="F55" t="str">
        <f t="shared" si="1"/>
        <v/>
      </c>
    </row>
    <row r="56" spans="5:6" x14ac:dyDescent="0.4">
      <c r="E56" t="str">
        <f t="shared" si="0"/>
        <v/>
      </c>
      <c r="F56" t="str">
        <f t="shared" si="1"/>
        <v/>
      </c>
    </row>
    <row r="57" spans="5:6" x14ac:dyDescent="0.4">
      <c r="E57" t="str">
        <f t="shared" si="0"/>
        <v/>
      </c>
      <c r="F57" t="str">
        <f t="shared" si="1"/>
        <v/>
      </c>
    </row>
    <row r="58" spans="5:6" x14ac:dyDescent="0.4">
      <c r="E58" t="str">
        <f t="shared" si="0"/>
        <v/>
      </c>
      <c r="F58" t="str">
        <f t="shared" si="1"/>
        <v/>
      </c>
    </row>
    <row r="59" spans="5:6" x14ac:dyDescent="0.4">
      <c r="E59" t="str">
        <f t="shared" si="0"/>
        <v/>
      </c>
      <c r="F59" t="str">
        <f t="shared" si="1"/>
        <v/>
      </c>
    </row>
    <row r="60" spans="5:6" x14ac:dyDescent="0.4">
      <c r="E60" t="str">
        <f t="shared" si="0"/>
        <v/>
      </c>
      <c r="F60" t="str">
        <f t="shared" si="1"/>
        <v/>
      </c>
    </row>
    <row r="61" spans="5:6" x14ac:dyDescent="0.4">
      <c r="E61" t="str">
        <f t="shared" si="0"/>
        <v/>
      </c>
      <c r="F61" t="str">
        <f t="shared" si="1"/>
        <v/>
      </c>
    </row>
    <row r="62" spans="5:6" x14ac:dyDescent="0.4">
      <c r="E62" t="str">
        <f t="shared" si="0"/>
        <v/>
      </c>
      <c r="F62" t="str">
        <f t="shared" si="1"/>
        <v/>
      </c>
    </row>
    <row r="63" spans="5:6" x14ac:dyDescent="0.4">
      <c r="E63" t="str">
        <f t="shared" si="0"/>
        <v/>
      </c>
      <c r="F63" t="str">
        <f t="shared" si="1"/>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CopyDataToWorkbooks">
                <anchor moveWithCells="1" sizeWithCells="1">
                  <from>
                    <xdr:col>12</xdr:col>
                    <xdr:colOff>353786</xdr:colOff>
                    <xdr:row>1</xdr:row>
                    <xdr:rowOff>125186</xdr:rowOff>
                  </from>
                  <to>
                    <xdr:col>21</xdr:col>
                    <xdr:colOff>468086</xdr:colOff>
                    <xdr:row>11</xdr:row>
                    <xdr:rowOff>5443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60305-D145-42E6-8DC6-C7E12995353D}">
  <sheetPr codeName="Sheet4">
    <tabColor rgb="FF7030A0"/>
  </sheetPr>
  <dimension ref="A1:N208"/>
  <sheetViews>
    <sheetView tabSelected="1" zoomScaleNormal="100" workbookViewId="0">
      <selection activeCell="P24" sqref="P24"/>
    </sheetView>
  </sheetViews>
  <sheetFormatPr defaultRowHeight="14.6" x14ac:dyDescent="0.4"/>
  <cols>
    <col min="2" max="2" width="19.3828125" customWidth="1"/>
    <col min="3" max="3" width="11.69140625" bestFit="1" customWidth="1"/>
    <col min="5" max="5" width="14.69140625" bestFit="1" customWidth="1"/>
    <col min="6" max="6" width="38.53515625" customWidth="1"/>
    <col min="7" max="7" width="28.61328125" bestFit="1" customWidth="1"/>
    <col min="8" max="8" width="14.69140625" customWidth="1"/>
    <col min="9" max="14" width="8.3828125" customWidth="1"/>
    <col min="15" max="15" width="14.15234375" bestFit="1" customWidth="1"/>
    <col min="16" max="16" width="27.84375" bestFit="1" customWidth="1"/>
  </cols>
  <sheetData>
    <row r="1" spans="1:14" x14ac:dyDescent="0.4">
      <c r="E1" s="7" t="s">
        <v>0</v>
      </c>
    </row>
    <row r="2" spans="1:14" x14ac:dyDescent="0.4">
      <c r="A2" s="3" t="s">
        <v>104</v>
      </c>
      <c r="B2" s="3" t="s">
        <v>105</v>
      </c>
      <c r="C2" s="3" t="s">
        <v>106</v>
      </c>
      <c r="E2" s="1" t="s">
        <v>6</v>
      </c>
      <c r="F2" s="1" t="s">
        <v>7</v>
      </c>
      <c r="G2" s="1" t="s">
        <v>1</v>
      </c>
      <c r="H2" s="1" t="s">
        <v>2</v>
      </c>
      <c r="I2" s="1" t="s">
        <v>3</v>
      </c>
      <c r="J2" s="1" t="s">
        <v>4</v>
      </c>
      <c r="K2" s="1" t="s">
        <v>5</v>
      </c>
      <c r="L2" s="1" t="s">
        <v>8</v>
      </c>
      <c r="M2" s="1" t="s">
        <v>9</v>
      </c>
      <c r="N2" s="1" t="s">
        <v>10</v>
      </c>
    </row>
    <row r="3" spans="1:14" x14ac:dyDescent="0.4">
      <c r="A3" t="s">
        <v>132</v>
      </c>
      <c r="B3" t="s">
        <v>133</v>
      </c>
      <c r="C3" t="s">
        <v>128</v>
      </c>
      <c r="E3" t="str">
        <f t="shared" ref="E3:E66" si="0">IF(A3="","",A3)</f>
        <v>000_Units</v>
      </c>
      <c r="F3" t="str">
        <f t="shared" ref="F3:F66" si="1">IF(B3="","",B3&amp;" [TIMESreport "&amp;C3&amp;"]")</f>
        <v>1000 units [TIMESreport capacityunit]</v>
      </c>
      <c r="H3" t="s">
        <v>97</v>
      </c>
      <c r="L3" t="s">
        <v>13</v>
      </c>
      <c r="M3" t="s">
        <v>13</v>
      </c>
    </row>
    <row r="4" spans="1:14" x14ac:dyDescent="0.4">
      <c r="A4" t="s">
        <v>131</v>
      </c>
      <c r="B4" t="s">
        <v>131</v>
      </c>
      <c r="C4" t="s">
        <v>128</v>
      </c>
      <c r="E4" t="str">
        <f t="shared" si="0"/>
        <v>GW</v>
      </c>
      <c r="F4" t="str">
        <f t="shared" si="1"/>
        <v>GW [TIMESreport capacityunit]</v>
      </c>
      <c r="H4" t="s">
        <v>261</v>
      </c>
      <c r="L4" t="s">
        <v>13</v>
      </c>
      <c r="M4" t="s">
        <v>13</v>
      </c>
    </row>
    <row r="5" spans="1:14" x14ac:dyDescent="0.4">
      <c r="A5" t="s">
        <v>239</v>
      </c>
      <c r="B5" t="s">
        <v>122</v>
      </c>
      <c r="C5" t="s">
        <v>128</v>
      </c>
      <c r="E5" t="str">
        <f t="shared" si="0"/>
        <v>Mta</v>
      </c>
      <c r="F5" t="str">
        <f t="shared" si="1"/>
        <v>Million ton a year [TIMESreport capacityunit]</v>
      </c>
      <c r="H5" t="s">
        <v>121</v>
      </c>
      <c r="L5" t="s">
        <v>13</v>
      </c>
      <c r="M5" t="s">
        <v>13</v>
      </c>
    </row>
    <row r="6" spans="1:14" x14ac:dyDescent="0.4">
      <c r="A6" t="s">
        <v>129</v>
      </c>
      <c r="B6" t="s">
        <v>130</v>
      </c>
      <c r="C6" t="s">
        <v>128</v>
      </c>
      <c r="E6" t="str">
        <f t="shared" si="0"/>
        <v>PJa</v>
      </c>
      <c r="F6" t="str">
        <f t="shared" si="1"/>
        <v>PJ annually [TIMESreport capacityunit]</v>
      </c>
      <c r="H6" s="4" t="s">
        <v>262</v>
      </c>
      <c r="L6" t="s">
        <v>13</v>
      </c>
      <c r="M6" t="s">
        <v>13</v>
      </c>
    </row>
    <row r="7" spans="1:14" x14ac:dyDescent="0.4">
      <c r="A7" t="s">
        <v>228</v>
      </c>
      <c r="B7" t="s">
        <v>90</v>
      </c>
      <c r="C7" t="s">
        <v>107</v>
      </c>
      <c r="E7" t="str">
        <f t="shared" si="0"/>
        <v>SC_AGR</v>
      </c>
      <c r="F7" t="str">
        <f t="shared" si="1"/>
        <v>Agriculture sector [TIMESreport sector]</v>
      </c>
      <c r="H7" t="s">
        <v>89</v>
      </c>
      <c r="L7" t="s">
        <v>13</v>
      </c>
      <c r="M7" t="s">
        <v>13</v>
      </c>
    </row>
    <row r="8" spans="1:14" x14ac:dyDescent="0.4">
      <c r="A8" t="s">
        <v>227</v>
      </c>
      <c r="B8" t="s">
        <v>93</v>
      </c>
      <c r="C8" t="s">
        <v>107</v>
      </c>
      <c r="E8" t="str">
        <f t="shared" si="0"/>
        <v>SC_COM</v>
      </c>
      <c r="F8" t="str">
        <f t="shared" si="1"/>
        <v>Commercial sector [TIMESreport sector]</v>
      </c>
      <c r="H8" t="s">
        <v>91</v>
      </c>
      <c r="L8" t="s">
        <v>13</v>
      </c>
      <c r="M8" t="s">
        <v>13</v>
      </c>
    </row>
    <row r="9" spans="1:14" x14ac:dyDescent="0.4">
      <c r="A9" t="s">
        <v>226</v>
      </c>
      <c r="B9" t="s">
        <v>95</v>
      </c>
      <c r="C9" t="s">
        <v>107</v>
      </c>
      <c r="E9" t="str">
        <f t="shared" si="0"/>
        <v>SC_ELE</v>
      </c>
      <c r="F9" t="str">
        <f t="shared" si="1"/>
        <v>Electricity supply sector [TIMESreport sector]</v>
      </c>
      <c r="H9" t="s">
        <v>103</v>
      </c>
      <c r="L9" t="s">
        <v>13</v>
      </c>
      <c r="M9" t="s">
        <v>13</v>
      </c>
    </row>
    <row r="10" spans="1:14" x14ac:dyDescent="0.4">
      <c r="A10" t="s">
        <v>225</v>
      </c>
      <c r="B10" t="s">
        <v>96</v>
      </c>
      <c r="C10" t="s">
        <v>107</v>
      </c>
      <c r="E10" t="str">
        <f t="shared" si="0"/>
        <v>SC_IND</v>
      </c>
      <c r="F10" t="str">
        <f t="shared" si="1"/>
        <v>Industry sector [TIMESreport sector]</v>
      </c>
      <c r="H10" t="s">
        <v>100</v>
      </c>
      <c r="L10" t="s">
        <v>13</v>
      </c>
      <c r="M10" t="s">
        <v>13</v>
      </c>
    </row>
    <row r="11" spans="1:14" x14ac:dyDescent="0.4">
      <c r="A11" t="s">
        <v>224</v>
      </c>
      <c r="B11" t="s">
        <v>85</v>
      </c>
      <c r="C11" t="s">
        <v>107</v>
      </c>
      <c r="E11" t="str">
        <f t="shared" si="0"/>
        <v>SC_MIN</v>
      </c>
      <c r="F11" t="str">
        <f t="shared" si="1"/>
        <v>Mining technologies [TIMESreport sector]</v>
      </c>
      <c r="H11" t="s">
        <v>53</v>
      </c>
      <c r="L11" t="s">
        <v>13</v>
      </c>
      <c r="M11" t="s">
        <v>13</v>
      </c>
    </row>
    <row r="12" spans="1:14" x14ac:dyDescent="0.4">
      <c r="A12" t="s">
        <v>223</v>
      </c>
      <c r="B12" t="s">
        <v>88</v>
      </c>
      <c r="C12" t="s">
        <v>107</v>
      </c>
      <c r="E12" t="str">
        <f t="shared" si="0"/>
        <v>SC_REF</v>
      </c>
      <c r="F12" t="str">
        <f t="shared" si="1"/>
        <v>Refinery  [TIMESreport sector]</v>
      </c>
      <c r="H12" t="s">
        <v>87</v>
      </c>
      <c r="L12" t="s">
        <v>13</v>
      </c>
      <c r="M12" t="s">
        <v>13</v>
      </c>
    </row>
    <row r="13" spans="1:14" x14ac:dyDescent="0.4">
      <c r="A13" t="s">
        <v>222</v>
      </c>
      <c r="B13" t="s">
        <v>92</v>
      </c>
      <c r="C13" t="s">
        <v>107</v>
      </c>
      <c r="E13" t="str">
        <f t="shared" si="0"/>
        <v>SC_RES</v>
      </c>
      <c r="F13" t="str">
        <f t="shared" si="1"/>
        <v>Residential sector [TIMESreport sector]</v>
      </c>
      <c r="H13" t="s">
        <v>101</v>
      </c>
      <c r="L13" t="s">
        <v>13</v>
      </c>
      <c r="M13" t="s">
        <v>13</v>
      </c>
    </row>
    <row r="14" spans="1:14" x14ac:dyDescent="0.4">
      <c r="A14" t="s">
        <v>221</v>
      </c>
      <c r="B14" t="s">
        <v>94</v>
      </c>
      <c r="C14" t="s">
        <v>107</v>
      </c>
      <c r="E14" t="str">
        <f t="shared" si="0"/>
        <v>SC_TRA</v>
      </c>
      <c r="F14" t="str">
        <f t="shared" si="1"/>
        <v>Transport sector [TIMESreport sector]</v>
      </c>
      <c r="H14" t="s">
        <v>97</v>
      </c>
      <c r="L14" t="s">
        <v>13</v>
      </c>
      <c r="M14" t="s">
        <v>13</v>
      </c>
    </row>
    <row r="15" spans="1:14" x14ac:dyDescent="0.4">
      <c r="A15" t="s">
        <v>220</v>
      </c>
      <c r="B15" t="s">
        <v>86</v>
      </c>
      <c r="C15" t="s">
        <v>107</v>
      </c>
      <c r="E15" t="str">
        <f t="shared" si="0"/>
        <v>SC_TRD</v>
      </c>
      <c r="F15" t="str">
        <f t="shared" si="1"/>
        <v>Trade technologies [TIMESreport sector]</v>
      </c>
      <c r="H15" t="s">
        <v>123</v>
      </c>
      <c r="L15" t="s">
        <v>13</v>
      </c>
      <c r="M15" t="s">
        <v>13</v>
      </c>
    </row>
    <row r="16" spans="1:14" x14ac:dyDescent="0.4">
      <c r="A16" t="s">
        <v>219</v>
      </c>
      <c r="B16" t="s">
        <v>98</v>
      </c>
      <c r="C16" t="s">
        <v>107</v>
      </c>
      <c r="E16" t="str">
        <f t="shared" si="0"/>
        <v>SC_TRM</v>
      </c>
      <c r="F16" t="str">
        <f t="shared" si="1"/>
        <v>Transmission of electricity and gas [TIMESreport sector]</v>
      </c>
      <c r="H16" t="s">
        <v>99</v>
      </c>
      <c r="L16" t="s">
        <v>13</v>
      </c>
      <c r="M16" t="s">
        <v>13</v>
      </c>
    </row>
    <row r="17" spans="1:13" x14ac:dyDescent="0.4">
      <c r="A17" t="s">
        <v>229</v>
      </c>
      <c r="B17" t="s">
        <v>182</v>
      </c>
      <c r="C17" t="s">
        <v>108</v>
      </c>
      <c r="E17" t="str">
        <f t="shared" si="0"/>
        <v>SR_AGR</v>
      </c>
      <c r="F17" t="str">
        <f t="shared" si="1"/>
        <v>Agricultural demand [TIMESreport service]</v>
      </c>
      <c r="H17" s="5" t="s">
        <v>177</v>
      </c>
      <c r="L17" t="s">
        <v>13</v>
      </c>
      <c r="M17" t="s">
        <v>13</v>
      </c>
    </row>
    <row r="18" spans="1:13" x14ac:dyDescent="0.4">
      <c r="A18" t="s">
        <v>230</v>
      </c>
      <c r="B18" t="s">
        <v>120</v>
      </c>
      <c r="C18" t="s">
        <v>108</v>
      </c>
      <c r="E18" t="str">
        <f t="shared" si="0"/>
        <v>SR_APP</v>
      </c>
      <c r="F18" t="str">
        <f t="shared" si="1"/>
        <v>Appliances [TIMESreport service]</v>
      </c>
      <c r="H18" s="5" t="s">
        <v>183</v>
      </c>
      <c r="L18" t="s">
        <v>13</v>
      </c>
      <c r="M18" t="s">
        <v>13</v>
      </c>
    </row>
    <row r="19" spans="1:13" x14ac:dyDescent="0.4">
      <c r="A19" t="s">
        <v>240</v>
      </c>
      <c r="B19" t="s">
        <v>154</v>
      </c>
      <c r="C19" t="s">
        <v>108</v>
      </c>
      <c r="E19" t="str">
        <f t="shared" si="0"/>
        <v>SR_IRS</v>
      </c>
      <c r="F19" t="str">
        <f t="shared" si="1"/>
        <v>Industrial IronSteel Demand [TIMESreport service]</v>
      </c>
      <c r="G19" t="s">
        <v>118</v>
      </c>
      <c r="H19" s="5" t="s">
        <v>258</v>
      </c>
      <c r="K19" s="5" t="s">
        <v>119</v>
      </c>
      <c r="L19" t="s">
        <v>13</v>
      </c>
      <c r="M19" t="s">
        <v>13</v>
      </c>
    </row>
    <row r="20" spans="1:13" x14ac:dyDescent="0.4">
      <c r="A20" t="s">
        <v>250</v>
      </c>
      <c r="B20" t="s">
        <v>260</v>
      </c>
      <c r="C20" t="s">
        <v>108</v>
      </c>
      <c r="E20" t="str">
        <f t="shared" si="0"/>
        <v>SR_IND</v>
      </c>
      <c r="F20" t="str">
        <f t="shared" si="1"/>
        <v>Industry Demand [TIMESreport service]</v>
      </c>
      <c r="G20" t="s">
        <v>118</v>
      </c>
      <c r="H20" t="s">
        <v>247</v>
      </c>
      <c r="K20" s="5"/>
      <c r="L20" t="s">
        <v>13</v>
      </c>
      <c r="M20" t="s">
        <v>13</v>
      </c>
    </row>
    <row r="21" spans="1:13" x14ac:dyDescent="0.4">
      <c r="A21" t="s">
        <v>231</v>
      </c>
      <c r="B21" t="s">
        <v>180</v>
      </c>
      <c r="C21" t="s">
        <v>108</v>
      </c>
      <c r="E21" t="str">
        <f t="shared" si="0"/>
        <v>SR_OTH</v>
      </c>
      <c r="F21" t="str">
        <f t="shared" si="1"/>
        <v>Other demands [TIMESreport service]</v>
      </c>
      <c r="H21" s="5" t="s">
        <v>184</v>
      </c>
      <c r="L21" t="s">
        <v>13</v>
      </c>
      <c r="M21" t="s">
        <v>13</v>
      </c>
    </row>
    <row r="22" spans="1:13" x14ac:dyDescent="0.4">
      <c r="A22" t="s">
        <v>232</v>
      </c>
      <c r="B22" t="s">
        <v>181</v>
      </c>
      <c r="C22" t="s">
        <v>108</v>
      </c>
      <c r="E22" t="str">
        <f t="shared" si="0"/>
        <v>SR_RHT</v>
      </c>
      <c r="F22" t="str">
        <f t="shared" si="1"/>
        <v>Room heat [TIMESreport service]</v>
      </c>
      <c r="H22" s="5" t="s">
        <v>185</v>
      </c>
      <c r="L22" t="s">
        <v>13</v>
      </c>
      <c r="M22" t="s">
        <v>13</v>
      </c>
    </row>
    <row r="23" spans="1:13" x14ac:dyDescent="0.4">
      <c r="A23" t="s">
        <v>233</v>
      </c>
      <c r="B23" t="s">
        <v>189</v>
      </c>
      <c r="C23" t="s">
        <v>108</v>
      </c>
      <c r="E23" t="str">
        <f t="shared" si="0"/>
        <v>SR_TRC</v>
      </c>
      <c r="F23" t="str">
        <f t="shared" si="1"/>
        <v>Cars [TIMESreport service]</v>
      </c>
      <c r="G23" t="s">
        <v>118</v>
      </c>
      <c r="H23" s="5" t="s">
        <v>207</v>
      </c>
      <c r="L23" t="s">
        <v>13</v>
      </c>
      <c r="M23" t="s">
        <v>13</v>
      </c>
    </row>
    <row r="24" spans="1:13" x14ac:dyDescent="0.4">
      <c r="A24" t="s">
        <v>234</v>
      </c>
      <c r="B24" t="s">
        <v>191</v>
      </c>
      <c r="C24" t="s">
        <v>108</v>
      </c>
      <c r="E24" t="str">
        <f t="shared" si="0"/>
        <v>SR_TRP</v>
      </c>
      <c r="F24" t="str">
        <f t="shared" si="1"/>
        <v>Public transport [TIMESreport service]</v>
      </c>
      <c r="G24" t="s">
        <v>118</v>
      </c>
      <c r="H24" s="5" t="s">
        <v>206</v>
      </c>
      <c r="L24" t="s">
        <v>13</v>
      </c>
      <c r="M24" t="s">
        <v>13</v>
      </c>
    </row>
    <row r="25" spans="1:13" x14ac:dyDescent="0.4">
      <c r="A25" t="s">
        <v>175</v>
      </c>
      <c r="B25" t="s">
        <v>176</v>
      </c>
      <c r="C25" t="s">
        <v>109</v>
      </c>
      <c r="E25" t="str">
        <f t="shared" si="0"/>
        <v>SS_AGR</v>
      </c>
      <c r="F25" t="str">
        <f t="shared" si="1"/>
        <v>Agriculture [TIMESreport subsector]</v>
      </c>
      <c r="H25" s="5" t="s">
        <v>177</v>
      </c>
      <c r="K25" s="5"/>
      <c r="L25" t="s">
        <v>13</v>
      </c>
      <c r="M25" t="s">
        <v>13</v>
      </c>
    </row>
    <row r="26" spans="1:13" x14ac:dyDescent="0.4">
      <c r="A26" t="s">
        <v>160</v>
      </c>
      <c r="B26" t="s">
        <v>203</v>
      </c>
      <c r="C26" t="s">
        <v>109</v>
      </c>
      <c r="E26" t="str">
        <f t="shared" si="0"/>
        <v>SS_BIO</v>
      </c>
      <c r="F26" t="str">
        <f t="shared" si="1"/>
        <v>Domestic biomass supply [TIMESreport subsector]</v>
      </c>
      <c r="H26" s="5" t="s">
        <v>161</v>
      </c>
      <c r="K26" s="5"/>
      <c r="L26" t="s">
        <v>13</v>
      </c>
      <c r="M26" t="s">
        <v>13</v>
      </c>
    </row>
    <row r="27" spans="1:13" x14ac:dyDescent="0.4">
      <c r="A27" t="s">
        <v>137</v>
      </c>
      <c r="B27" t="s">
        <v>138</v>
      </c>
      <c r="C27" t="s">
        <v>109</v>
      </c>
      <c r="E27" t="str">
        <f t="shared" si="0"/>
        <v>SS_CHP</v>
      </c>
      <c r="F27" t="str">
        <f t="shared" si="1"/>
        <v>Combined heat and power plant [TIMESreport subsector]</v>
      </c>
      <c r="G27" t="s">
        <v>141</v>
      </c>
      <c r="H27" t="s">
        <v>103</v>
      </c>
      <c r="L27" t="s">
        <v>13</v>
      </c>
      <c r="M27" t="s">
        <v>13</v>
      </c>
    </row>
    <row r="28" spans="1:13" x14ac:dyDescent="0.4">
      <c r="A28" t="s">
        <v>156</v>
      </c>
      <c r="B28" t="s">
        <v>200</v>
      </c>
      <c r="C28" t="s">
        <v>109</v>
      </c>
      <c r="E28" t="str">
        <f t="shared" si="0"/>
        <v>SS_COA</v>
      </c>
      <c r="F28" t="str">
        <f t="shared" si="1"/>
        <v>Coal supply [TIMESreport subsector]</v>
      </c>
      <c r="H28" s="5" t="s">
        <v>166</v>
      </c>
      <c r="K28" s="5"/>
      <c r="L28" t="s">
        <v>13</v>
      </c>
      <c r="M28" t="s">
        <v>13</v>
      </c>
    </row>
    <row r="29" spans="1:13" x14ac:dyDescent="0.4">
      <c r="A29" t="s">
        <v>178</v>
      </c>
      <c r="B29" t="s">
        <v>179</v>
      </c>
      <c r="C29" t="s">
        <v>109</v>
      </c>
      <c r="E29" t="str">
        <f t="shared" si="0"/>
        <v>SS_COM</v>
      </c>
      <c r="F29" t="str">
        <f t="shared" si="1"/>
        <v>Commercial [TIMESreport subsector]</v>
      </c>
      <c r="H29" s="5" t="s">
        <v>91</v>
      </c>
      <c r="L29" t="s">
        <v>13</v>
      </c>
      <c r="M29" t="s">
        <v>13</v>
      </c>
    </row>
    <row r="30" spans="1:13" x14ac:dyDescent="0.4">
      <c r="A30" t="s">
        <v>169</v>
      </c>
      <c r="B30" t="s">
        <v>170</v>
      </c>
      <c r="C30" t="s">
        <v>109</v>
      </c>
      <c r="E30" t="str">
        <f t="shared" si="0"/>
        <v>SS_ELC</v>
      </c>
      <c r="F30" t="str">
        <f t="shared" si="1"/>
        <v>Electricity trade [TIMESreport subsector]</v>
      </c>
      <c r="H30" s="5" t="s">
        <v>171</v>
      </c>
      <c r="K30" s="5"/>
      <c r="L30" t="s">
        <v>13</v>
      </c>
      <c r="M30" t="s">
        <v>13</v>
      </c>
    </row>
    <row r="31" spans="1:13" x14ac:dyDescent="0.4">
      <c r="A31" t="s">
        <v>135</v>
      </c>
      <c r="B31" t="s">
        <v>136</v>
      </c>
      <c r="C31" t="s">
        <v>109</v>
      </c>
      <c r="E31" t="str">
        <f t="shared" si="0"/>
        <v>SS_ELE</v>
      </c>
      <c r="F31" t="str">
        <f t="shared" si="1"/>
        <v>Power plants [TIMESreport subsector]</v>
      </c>
      <c r="G31" t="s">
        <v>14</v>
      </c>
      <c r="H31" t="s">
        <v>103</v>
      </c>
      <c r="L31" t="s">
        <v>13</v>
      </c>
      <c r="M31" t="s">
        <v>13</v>
      </c>
    </row>
    <row r="32" spans="1:13" x14ac:dyDescent="0.4">
      <c r="A32" t="s">
        <v>157</v>
      </c>
      <c r="B32" t="s">
        <v>201</v>
      </c>
      <c r="C32" t="s">
        <v>109</v>
      </c>
      <c r="E32" t="str">
        <f t="shared" si="0"/>
        <v>SS_GAS</v>
      </c>
      <c r="F32" t="str">
        <f t="shared" si="1"/>
        <v>Natural gas supply [TIMESreport subsector]</v>
      </c>
      <c r="H32" s="5" t="s">
        <v>167</v>
      </c>
      <c r="K32" s="5"/>
      <c r="L32" t="s">
        <v>13</v>
      </c>
      <c r="M32" t="s">
        <v>13</v>
      </c>
    </row>
    <row r="33" spans="1:13" x14ac:dyDescent="0.4">
      <c r="A33" t="s">
        <v>139</v>
      </c>
      <c r="B33" t="s">
        <v>140</v>
      </c>
      <c r="C33" t="s">
        <v>109</v>
      </c>
      <c r="E33" t="str">
        <f t="shared" si="0"/>
        <v>SS_HPL</v>
      </c>
      <c r="F33" t="str">
        <f t="shared" si="1"/>
        <v>Heating plant [TIMESreport subsector]</v>
      </c>
      <c r="G33" t="s">
        <v>142</v>
      </c>
      <c r="H33" t="s">
        <v>103</v>
      </c>
      <c r="L33" t="s">
        <v>13</v>
      </c>
      <c r="M33" t="s">
        <v>13</v>
      </c>
    </row>
    <row r="34" spans="1:13" x14ac:dyDescent="0.4">
      <c r="A34" t="s">
        <v>149</v>
      </c>
      <c r="B34" t="s">
        <v>146</v>
      </c>
      <c r="C34" t="s">
        <v>109</v>
      </c>
      <c r="E34" t="str">
        <f t="shared" si="0"/>
        <v>SS_IRO</v>
      </c>
      <c r="F34" t="str">
        <f t="shared" si="1"/>
        <v>Industrial Iron [TIMESreport subsector]</v>
      </c>
      <c r="H34" s="5" t="s">
        <v>145</v>
      </c>
      <c r="L34" t="s">
        <v>13</v>
      </c>
      <c r="M34" t="s">
        <v>13</v>
      </c>
    </row>
    <row r="35" spans="1:13" x14ac:dyDescent="0.4">
      <c r="A35" t="s">
        <v>248</v>
      </c>
      <c r="B35" t="s">
        <v>249</v>
      </c>
      <c r="C35" t="s">
        <v>109</v>
      </c>
      <c r="E35" t="str">
        <f t="shared" si="0"/>
        <v>SS_IND</v>
      </c>
      <c r="F35" t="str">
        <f t="shared" si="1"/>
        <v>Industry other [TIMESreport subsector]</v>
      </c>
      <c r="H35" t="s">
        <v>247</v>
      </c>
      <c r="L35" t="s">
        <v>13</v>
      </c>
      <c r="M35" t="s">
        <v>13</v>
      </c>
    </row>
    <row r="36" spans="1:13" x14ac:dyDescent="0.4">
      <c r="A36" t="s">
        <v>164</v>
      </c>
      <c r="B36" t="s">
        <v>205</v>
      </c>
      <c r="C36" t="s">
        <v>109</v>
      </c>
      <c r="E36" t="str">
        <f t="shared" si="0"/>
        <v>SS_NUC</v>
      </c>
      <c r="F36" t="str">
        <f t="shared" si="1"/>
        <v>Mining nuclear fuel supply [TIMESreport subsector]</v>
      </c>
      <c r="H36" s="5" t="s">
        <v>165</v>
      </c>
      <c r="K36" s="5"/>
      <c r="L36" t="s">
        <v>13</v>
      </c>
      <c r="M36" t="s">
        <v>13</v>
      </c>
    </row>
    <row r="37" spans="1:13" x14ac:dyDescent="0.4">
      <c r="A37" t="s">
        <v>155</v>
      </c>
      <c r="B37" t="s">
        <v>199</v>
      </c>
      <c r="C37" t="s">
        <v>109</v>
      </c>
      <c r="E37" t="str">
        <f t="shared" si="0"/>
        <v>SS_OIL</v>
      </c>
      <c r="F37" t="str">
        <f t="shared" si="1"/>
        <v>Oil supply [TIMESreport subsector]</v>
      </c>
      <c r="H37" s="5" t="s">
        <v>168</v>
      </c>
      <c r="K37" s="5"/>
      <c r="L37" t="s">
        <v>13</v>
      </c>
      <c r="M37" t="s">
        <v>13</v>
      </c>
    </row>
    <row r="38" spans="1:13" x14ac:dyDescent="0.4">
      <c r="A38" t="s">
        <v>151</v>
      </c>
      <c r="B38" t="s">
        <v>147</v>
      </c>
      <c r="C38" t="s">
        <v>109</v>
      </c>
      <c r="E38" t="str">
        <f t="shared" si="0"/>
        <v>SS_ORE</v>
      </c>
      <c r="F38" t="str">
        <f t="shared" si="1"/>
        <v>Industrial Ore [TIMESreport subsector]</v>
      </c>
      <c r="H38" s="5" t="s">
        <v>241</v>
      </c>
      <c r="L38" t="s">
        <v>13</v>
      </c>
      <c r="M38" t="s">
        <v>13</v>
      </c>
    </row>
    <row r="39" spans="1:13" x14ac:dyDescent="0.4">
      <c r="A39" t="s">
        <v>162</v>
      </c>
      <c r="B39" t="s">
        <v>204</v>
      </c>
      <c r="C39" t="s">
        <v>109</v>
      </c>
      <c r="E39" t="str">
        <f t="shared" si="0"/>
        <v>SS_OXY</v>
      </c>
      <c r="F39" t="str">
        <f t="shared" si="1"/>
        <v>Oxygen supply  [TIMESreport subsector]</v>
      </c>
      <c r="H39" s="5" t="s">
        <v>163</v>
      </c>
      <c r="K39" s="5"/>
      <c r="L39" t="s">
        <v>13</v>
      </c>
      <c r="M39" t="s">
        <v>13</v>
      </c>
    </row>
    <row r="40" spans="1:13" x14ac:dyDescent="0.4">
      <c r="A40" t="s">
        <v>172</v>
      </c>
      <c r="B40" t="s">
        <v>173</v>
      </c>
      <c r="C40" t="s">
        <v>109</v>
      </c>
      <c r="E40" t="str">
        <f t="shared" si="0"/>
        <v>SS_REF</v>
      </c>
      <c r="F40" t="str">
        <f t="shared" si="1"/>
        <v>Oil refinary [TIMESreport subsector]</v>
      </c>
      <c r="H40" s="5" t="s">
        <v>174</v>
      </c>
      <c r="K40" s="5"/>
      <c r="L40" t="s">
        <v>13</v>
      </c>
      <c r="M40" t="s">
        <v>13</v>
      </c>
    </row>
    <row r="41" spans="1:13" x14ac:dyDescent="0.4">
      <c r="A41" t="s">
        <v>186</v>
      </c>
      <c r="B41" t="s">
        <v>187</v>
      </c>
      <c r="C41" t="s">
        <v>109</v>
      </c>
      <c r="E41" t="str">
        <f t="shared" si="0"/>
        <v>SS_RES</v>
      </c>
      <c r="F41" t="str">
        <f t="shared" si="1"/>
        <v>Residential [TIMESreport subsector]</v>
      </c>
      <c r="H41" s="5" t="s">
        <v>238</v>
      </c>
      <c r="L41" t="s">
        <v>13</v>
      </c>
      <c r="M41" t="s">
        <v>13</v>
      </c>
    </row>
    <row r="42" spans="1:13" x14ac:dyDescent="0.4">
      <c r="A42" t="s">
        <v>158</v>
      </c>
      <c r="B42" t="s">
        <v>202</v>
      </c>
      <c r="C42" t="s">
        <v>109</v>
      </c>
      <c r="E42" t="str">
        <f t="shared" si="0"/>
        <v>SS_REW</v>
      </c>
      <c r="F42" t="str">
        <f t="shared" si="1"/>
        <v>Renewable energy supply [TIMESreport subsector]</v>
      </c>
      <c r="H42" s="5" t="s">
        <v>159</v>
      </c>
      <c r="K42" s="5"/>
      <c r="L42" t="s">
        <v>13</v>
      </c>
      <c r="M42" t="s">
        <v>13</v>
      </c>
    </row>
    <row r="43" spans="1:13" x14ac:dyDescent="0.4">
      <c r="A43" t="s">
        <v>152</v>
      </c>
      <c r="B43" t="s">
        <v>148</v>
      </c>
      <c r="C43" t="s">
        <v>109</v>
      </c>
      <c r="E43" t="str">
        <f t="shared" si="0"/>
        <v>SS_SIN</v>
      </c>
      <c r="F43" t="str">
        <f t="shared" si="1"/>
        <v>Industrial Sinter [TIMESreport subsector]</v>
      </c>
      <c r="H43" s="5" t="s">
        <v>153</v>
      </c>
      <c r="L43" t="s">
        <v>13</v>
      </c>
      <c r="M43" t="s">
        <v>13</v>
      </c>
    </row>
    <row r="44" spans="1:13" x14ac:dyDescent="0.4">
      <c r="A44" t="s">
        <v>150</v>
      </c>
      <c r="B44" t="s">
        <v>144</v>
      </c>
      <c r="C44" t="s">
        <v>109</v>
      </c>
      <c r="E44" t="str">
        <f t="shared" si="0"/>
        <v>SS_STE</v>
      </c>
      <c r="F44" t="str">
        <f t="shared" si="1"/>
        <v>Industrial Steel [TIMESreport subsector]</v>
      </c>
      <c r="H44" t="s">
        <v>143</v>
      </c>
      <c r="L44" t="s">
        <v>13</v>
      </c>
      <c r="M44" t="s">
        <v>13</v>
      </c>
    </row>
    <row r="45" spans="1:13" x14ac:dyDescent="0.4">
      <c r="A45" t="s">
        <v>188</v>
      </c>
      <c r="B45" t="s">
        <v>192</v>
      </c>
      <c r="C45" t="s">
        <v>109</v>
      </c>
      <c r="E45" t="str">
        <f t="shared" si="0"/>
        <v>SS_TRC</v>
      </c>
      <c r="F45" t="str">
        <f t="shared" si="1"/>
        <v>Private transport [TIMESreport subsector]</v>
      </c>
      <c r="H45" s="5" t="s">
        <v>207</v>
      </c>
      <c r="L45" t="s">
        <v>13</v>
      </c>
      <c r="M45" t="s">
        <v>13</v>
      </c>
    </row>
    <row r="46" spans="1:13" x14ac:dyDescent="0.4">
      <c r="A46" t="s">
        <v>194</v>
      </c>
      <c r="B46" t="s">
        <v>196</v>
      </c>
      <c r="C46" t="s">
        <v>109</v>
      </c>
      <c r="E46" t="str">
        <f t="shared" si="0"/>
        <v>SS_TRME</v>
      </c>
      <c r="F46" t="str">
        <f t="shared" si="1"/>
        <v>Electricity transmission [TIMESreport subsector]</v>
      </c>
      <c r="H46" s="5" t="s">
        <v>197</v>
      </c>
      <c r="L46" t="s">
        <v>13</v>
      </c>
      <c r="M46" t="s">
        <v>13</v>
      </c>
    </row>
    <row r="47" spans="1:13" x14ac:dyDescent="0.4">
      <c r="A47" t="s">
        <v>193</v>
      </c>
      <c r="B47" t="s">
        <v>195</v>
      </c>
      <c r="C47" t="s">
        <v>109</v>
      </c>
      <c r="E47" t="str">
        <f t="shared" si="0"/>
        <v>SS_TRMG</v>
      </c>
      <c r="F47" t="str">
        <f t="shared" si="1"/>
        <v>Gas transmission [TIMESreport subsector]</v>
      </c>
      <c r="H47" s="5" t="s">
        <v>198</v>
      </c>
      <c r="L47" t="s">
        <v>13</v>
      </c>
      <c r="M47" t="s">
        <v>13</v>
      </c>
    </row>
    <row r="48" spans="1:13" x14ac:dyDescent="0.4">
      <c r="A48" t="s">
        <v>190</v>
      </c>
      <c r="B48" t="s">
        <v>191</v>
      </c>
      <c r="C48" t="s">
        <v>109</v>
      </c>
      <c r="E48" t="str">
        <f t="shared" si="0"/>
        <v>SS_TRP</v>
      </c>
      <c r="F48" t="str">
        <f t="shared" si="1"/>
        <v>Public transport [TIMESreport subsector]</v>
      </c>
      <c r="H48" s="5" t="s">
        <v>206</v>
      </c>
      <c r="L48" t="s">
        <v>13</v>
      </c>
      <c r="M48" t="s">
        <v>13</v>
      </c>
    </row>
    <row r="49" spans="1:13" x14ac:dyDescent="0.4">
      <c r="A49" t="s">
        <v>209</v>
      </c>
      <c r="B49" t="s">
        <v>218</v>
      </c>
      <c r="C49" t="s">
        <v>110</v>
      </c>
      <c r="E49" t="str">
        <f t="shared" si="0"/>
        <v>TG_BIO</v>
      </c>
      <c r="F49" t="str">
        <f t="shared" si="1"/>
        <v>Biomass [TIMESreport techgroup]</v>
      </c>
      <c r="H49" s="5" t="s">
        <v>214</v>
      </c>
      <c r="L49" t="s">
        <v>13</v>
      </c>
      <c r="M49" t="s">
        <v>13</v>
      </c>
    </row>
    <row r="50" spans="1:13" x14ac:dyDescent="0.4">
      <c r="A50" t="s">
        <v>212</v>
      </c>
      <c r="B50" t="s">
        <v>112</v>
      </c>
      <c r="C50" t="s">
        <v>110</v>
      </c>
      <c r="E50" t="str">
        <f t="shared" si="0"/>
        <v>TG_ELC</v>
      </c>
      <c r="F50" t="str">
        <f t="shared" si="1"/>
        <v>Electricity [TIMESreport techgroup]</v>
      </c>
      <c r="H50" s="5" t="s">
        <v>72</v>
      </c>
      <c r="J50" t="s">
        <v>134</v>
      </c>
      <c r="L50" t="s">
        <v>13</v>
      </c>
      <c r="M50" t="s">
        <v>13</v>
      </c>
    </row>
    <row r="51" spans="1:13" x14ac:dyDescent="0.4">
      <c r="A51" t="s">
        <v>213</v>
      </c>
      <c r="B51" t="s">
        <v>113</v>
      </c>
      <c r="C51" t="s">
        <v>110</v>
      </c>
      <c r="E51" t="str">
        <f t="shared" si="0"/>
        <v>TG_GAS</v>
      </c>
      <c r="F51" t="str">
        <f t="shared" si="1"/>
        <v>Gas [TIMESreport techgroup]</v>
      </c>
      <c r="H51" s="5" t="s">
        <v>21</v>
      </c>
      <c r="L51" t="s">
        <v>13</v>
      </c>
      <c r="M51" t="s">
        <v>13</v>
      </c>
    </row>
    <row r="52" spans="1:13" x14ac:dyDescent="0.4">
      <c r="A52" t="s">
        <v>210</v>
      </c>
      <c r="B52" t="s">
        <v>114</v>
      </c>
      <c r="C52" t="s">
        <v>110</v>
      </c>
      <c r="E52" t="str">
        <f t="shared" si="0"/>
        <v>TG_NUC</v>
      </c>
      <c r="F52" t="str">
        <f t="shared" si="1"/>
        <v>Nuclear [TIMESreport techgroup]</v>
      </c>
      <c r="H52" s="5" t="s">
        <v>215</v>
      </c>
      <c r="J52" t="s">
        <v>57</v>
      </c>
      <c r="L52" t="s">
        <v>13</v>
      </c>
      <c r="M52" t="s">
        <v>13</v>
      </c>
    </row>
    <row r="53" spans="1:13" x14ac:dyDescent="0.4">
      <c r="A53" t="s">
        <v>208</v>
      </c>
      <c r="B53" t="s">
        <v>115</v>
      </c>
      <c r="C53" t="s">
        <v>110</v>
      </c>
      <c r="E53" t="str">
        <f t="shared" si="0"/>
        <v>TG_OIL</v>
      </c>
      <c r="F53" t="str">
        <f t="shared" si="1"/>
        <v>Oil [TIMESreport techgroup]</v>
      </c>
      <c r="H53" s="5" t="s">
        <v>217</v>
      </c>
      <c r="J53" s="5"/>
      <c r="L53" t="s">
        <v>13</v>
      </c>
      <c r="M53" t="s">
        <v>13</v>
      </c>
    </row>
    <row r="54" spans="1:13" x14ac:dyDescent="0.4">
      <c r="A54" t="s">
        <v>211</v>
      </c>
      <c r="B54" t="s">
        <v>116</v>
      </c>
      <c r="C54" t="s">
        <v>110</v>
      </c>
      <c r="E54" t="str">
        <f t="shared" si="0"/>
        <v>TG_REW</v>
      </c>
      <c r="F54" t="str">
        <f t="shared" si="1"/>
        <v>Renewable [TIMESreport techgroup]</v>
      </c>
      <c r="H54" s="5" t="s">
        <v>216</v>
      </c>
      <c r="L54" t="s">
        <v>13</v>
      </c>
      <c r="M54" t="s">
        <v>13</v>
      </c>
    </row>
    <row r="55" spans="1:13" x14ac:dyDescent="0.4">
      <c r="A55" t="s">
        <v>235</v>
      </c>
      <c r="B55" t="s">
        <v>236</v>
      </c>
      <c r="C55" t="s">
        <v>110</v>
      </c>
      <c r="E55" t="str">
        <f t="shared" si="0"/>
        <v>TG_COA</v>
      </c>
      <c r="F55" t="str">
        <f t="shared" si="1"/>
        <v>Coal  [TIMESreport techgroup]</v>
      </c>
      <c r="H55" s="5" t="s">
        <v>19</v>
      </c>
      <c r="J55" t="s">
        <v>15</v>
      </c>
      <c r="L55" t="s">
        <v>13</v>
      </c>
      <c r="M55" t="s">
        <v>13</v>
      </c>
    </row>
    <row r="56" spans="1:13" x14ac:dyDescent="0.4">
      <c r="A56" t="s">
        <v>251</v>
      </c>
      <c r="B56" t="s">
        <v>252</v>
      </c>
      <c r="C56" t="s">
        <v>110</v>
      </c>
      <c r="E56" t="str">
        <f t="shared" si="0"/>
        <v>TG_DMD</v>
      </c>
      <c r="F56" t="str">
        <f t="shared" si="1"/>
        <v>Demand Technology [TIMESreport techgroup]</v>
      </c>
      <c r="H56" s="5" t="s">
        <v>253</v>
      </c>
      <c r="J56" t="s">
        <v>15</v>
      </c>
      <c r="L56" t="s">
        <v>13</v>
      </c>
      <c r="M56" t="s">
        <v>13</v>
      </c>
    </row>
    <row r="57" spans="1:13" x14ac:dyDescent="0.4">
      <c r="E57" t="str">
        <f t="shared" si="0"/>
        <v/>
      </c>
      <c r="F57" t="str">
        <f t="shared" si="1"/>
        <v/>
      </c>
    </row>
    <row r="58" spans="1:13" x14ac:dyDescent="0.4">
      <c r="E58" t="str">
        <f t="shared" si="0"/>
        <v/>
      </c>
      <c r="F58" t="str">
        <f t="shared" si="1"/>
        <v/>
      </c>
    </row>
    <row r="59" spans="1:13" x14ac:dyDescent="0.4">
      <c r="E59" t="str">
        <f t="shared" si="0"/>
        <v/>
      </c>
      <c r="F59" t="str">
        <f t="shared" si="1"/>
        <v/>
      </c>
    </row>
    <row r="60" spans="1:13" x14ac:dyDescent="0.4">
      <c r="E60" t="str">
        <f t="shared" si="0"/>
        <v/>
      </c>
      <c r="F60" t="str">
        <f t="shared" si="1"/>
        <v/>
      </c>
    </row>
    <row r="61" spans="1:13" x14ac:dyDescent="0.4">
      <c r="E61" t="str">
        <f t="shared" si="0"/>
        <v/>
      </c>
      <c r="F61" t="str">
        <f t="shared" si="1"/>
        <v/>
      </c>
    </row>
    <row r="62" spans="1:13" x14ac:dyDescent="0.4">
      <c r="E62" t="str">
        <f t="shared" si="0"/>
        <v/>
      </c>
      <c r="F62" t="str">
        <f t="shared" si="1"/>
        <v/>
      </c>
    </row>
    <row r="63" spans="1:13" x14ac:dyDescent="0.4">
      <c r="E63" t="str">
        <f t="shared" si="0"/>
        <v/>
      </c>
      <c r="F63" t="str">
        <f t="shared" si="1"/>
        <v/>
      </c>
    </row>
    <row r="64" spans="1:13" x14ac:dyDescent="0.4">
      <c r="E64" t="str">
        <f t="shared" si="0"/>
        <v/>
      </c>
      <c r="F64" t="str">
        <f t="shared" si="1"/>
        <v/>
      </c>
    </row>
    <row r="65" spans="5:6" x14ac:dyDescent="0.4">
      <c r="E65" t="str">
        <f t="shared" si="0"/>
        <v/>
      </c>
      <c r="F65" t="str">
        <f t="shared" si="1"/>
        <v/>
      </c>
    </row>
    <row r="66" spans="5:6" x14ac:dyDescent="0.4">
      <c r="E66" t="str">
        <f t="shared" si="0"/>
        <v/>
      </c>
      <c r="F66" t="str">
        <f t="shared" si="1"/>
        <v/>
      </c>
    </row>
    <row r="67" spans="5:6" x14ac:dyDescent="0.4">
      <c r="E67" t="str">
        <f t="shared" ref="E67:E130" si="2">IF(A67="","",A67)</f>
        <v/>
      </c>
      <c r="F67" t="str">
        <f t="shared" ref="F67:F130" si="3">IF(B67="","",B67&amp;" [TIMESreport "&amp;C67&amp;"]")</f>
        <v/>
      </c>
    </row>
    <row r="68" spans="5:6" x14ac:dyDescent="0.4">
      <c r="E68" t="str">
        <f t="shared" si="2"/>
        <v/>
      </c>
      <c r="F68" t="str">
        <f t="shared" si="3"/>
        <v/>
      </c>
    </row>
    <row r="69" spans="5:6" x14ac:dyDescent="0.4">
      <c r="E69" t="str">
        <f t="shared" si="2"/>
        <v/>
      </c>
      <c r="F69" t="str">
        <f t="shared" si="3"/>
        <v/>
      </c>
    </row>
    <row r="70" spans="5:6" x14ac:dyDescent="0.4">
      <c r="E70" t="str">
        <f t="shared" si="2"/>
        <v/>
      </c>
      <c r="F70" t="str">
        <f t="shared" si="3"/>
        <v/>
      </c>
    </row>
    <row r="71" spans="5:6" x14ac:dyDescent="0.4">
      <c r="E71" t="str">
        <f t="shared" si="2"/>
        <v/>
      </c>
      <c r="F71" t="str">
        <f t="shared" si="3"/>
        <v/>
      </c>
    </row>
    <row r="72" spans="5:6" x14ac:dyDescent="0.4">
      <c r="E72" t="str">
        <f t="shared" si="2"/>
        <v/>
      </c>
      <c r="F72" t="str">
        <f t="shared" si="3"/>
        <v/>
      </c>
    </row>
    <row r="73" spans="5:6" x14ac:dyDescent="0.4">
      <c r="E73" t="str">
        <f t="shared" si="2"/>
        <v/>
      </c>
      <c r="F73" t="str">
        <f t="shared" si="3"/>
        <v/>
      </c>
    </row>
    <row r="74" spans="5:6" x14ac:dyDescent="0.4">
      <c r="E74" t="str">
        <f t="shared" si="2"/>
        <v/>
      </c>
      <c r="F74" t="str">
        <f t="shared" si="3"/>
        <v/>
      </c>
    </row>
    <row r="75" spans="5:6" x14ac:dyDescent="0.4">
      <c r="E75" t="str">
        <f t="shared" si="2"/>
        <v/>
      </c>
      <c r="F75" t="str">
        <f t="shared" si="3"/>
        <v/>
      </c>
    </row>
    <row r="76" spans="5:6" x14ac:dyDescent="0.4">
      <c r="E76" t="str">
        <f t="shared" si="2"/>
        <v/>
      </c>
      <c r="F76" t="str">
        <f t="shared" si="3"/>
        <v/>
      </c>
    </row>
    <row r="77" spans="5:6" x14ac:dyDescent="0.4">
      <c r="E77" t="str">
        <f t="shared" si="2"/>
        <v/>
      </c>
      <c r="F77" t="str">
        <f t="shared" si="3"/>
        <v/>
      </c>
    </row>
    <row r="78" spans="5:6" x14ac:dyDescent="0.4">
      <c r="E78" t="str">
        <f t="shared" si="2"/>
        <v/>
      </c>
      <c r="F78" t="str">
        <f t="shared" si="3"/>
        <v/>
      </c>
    </row>
    <row r="79" spans="5:6" x14ac:dyDescent="0.4">
      <c r="E79" t="str">
        <f t="shared" si="2"/>
        <v/>
      </c>
      <c r="F79" t="str">
        <f t="shared" si="3"/>
        <v/>
      </c>
    </row>
    <row r="80" spans="5:6" x14ac:dyDescent="0.4">
      <c r="E80" t="str">
        <f t="shared" si="2"/>
        <v/>
      </c>
      <c r="F80" t="str">
        <f t="shared" si="3"/>
        <v/>
      </c>
    </row>
    <row r="81" spans="5:6" x14ac:dyDescent="0.4">
      <c r="E81" t="str">
        <f t="shared" si="2"/>
        <v/>
      </c>
      <c r="F81" t="str">
        <f t="shared" si="3"/>
        <v/>
      </c>
    </row>
    <row r="82" spans="5:6" x14ac:dyDescent="0.4">
      <c r="E82" t="str">
        <f t="shared" si="2"/>
        <v/>
      </c>
      <c r="F82" t="str">
        <f t="shared" si="3"/>
        <v/>
      </c>
    </row>
    <row r="83" spans="5:6" x14ac:dyDescent="0.4">
      <c r="E83" t="str">
        <f t="shared" si="2"/>
        <v/>
      </c>
      <c r="F83" t="str">
        <f t="shared" si="3"/>
        <v/>
      </c>
    </row>
    <row r="84" spans="5:6" x14ac:dyDescent="0.4">
      <c r="E84" t="str">
        <f t="shared" si="2"/>
        <v/>
      </c>
      <c r="F84" t="str">
        <f t="shared" si="3"/>
        <v/>
      </c>
    </row>
    <row r="85" spans="5:6" x14ac:dyDescent="0.4">
      <c r="E85" t="str">
        <f t="shared" si="2"/>
        <v/>
      </c>
      <c r="F85" t="str">
        <f t="shared" si="3"/>
        <v/>
      </c>
    </row>
    <row r="86" spans="5:6" x14ac:dyDescent="0.4">
      <c r="E86" t="str">
        <f t="shared" si="2"/>
        <v/>
      </c>
      <c r="F86" t="str">
        <f t="shared" si="3"/>
        <v/>
      </c>
    </row>
    <row r="87" spans="5:6" x14ac:dyDescent="0.4">
      <c r="E87" t="str">
        <f t="shared" si="2"/>
        <v/>
      </c>
      <c r="F87" t="str">
        <f t="shared" si="3"/>
        <v/>
      </c>
    </row>
    <row r="88" spans="5:6" x14ac:dyDescent="0.4">
      <c r="E88" t="str">
        <f t="shared" si="2"/>
        <v/>
      </c>
      <c r="F88" t="str">
        <f t="shared" si="3"/>
        <v/>
      </c>
    </row>
    <row r="89" spans="5:6" x14ac:dyDescent="0.4">
      <c r="E89" t="str">
        <f t="shared" si="2"/>
        <v/>
      </c>
      <c r="F89" t="str">
        <f t="shared" si="3"/>
        <v/>
      </c>
    </row>
    <row r="90" spans="5:6" x14ac:dyDescent="0.4">
      <c r="E90" t="str">
        <f t="shared" si="2"/>
        <v/>
      </c>
      <c r="F90" t="str">
        <f t="shared" si="3"/>
        <v/>
      </c>
    </row>
    <row r="91" spans="5:6" x14ac:dyDescent="0.4">
      <c r="E91" t="str">
        <f t="shared" si="2"/>
        <v/>
      </c>
      <c r="F91" t="str">
        <f t="shared" si="3"/>
        <v/>
      </c>
    </row>
    <row r="92" spans="5:6" x14ac:dyDescent="0.4">
      <c r="E92" t="str">
        <f t="shared" si="2"/>
        <v/>
      </c>
      <c r="F92" t="str">
        <f t="shared" si="3"/>
        <v/>
      </c>
    </row>
    <row r="93" spans="5:6" x14ac:dyDescent="0.4">
      <c r="E93" t="str">
        <f t="shared" si="2"/>
        <v/>
      </c>
      <c r="F93" t="str">
        <f t="shared" si="3"/>
        <v/>
      </c>
    </row>
    <row r="94" spans="5:6" x14ac:dyDescent="0.4">
      <c r="E94" t="str">
        <f t="shared" si="2"/>
        <v/>
      </c>
      <c r="F94" t="str">
        <f t="shared" si="3"/>
        <v/>
      </c>
    </row>
    <row r="95" spans="5:6" x14ac:dyDescent="0.4">
      <c r="E95" t="str">
        <f t="shared" si="2"/>
        <v/>
      </c>
      <c r="F95" t="str">
        <f t="shared" si="3"/>
        <v/>
      </c>
    </row>
    <row r="96" spans="5:6" x14ac:dyDescent="0.4">
      <c r="E96" t="str">
        <f t="shared" si="2"/>
        <v/>
      </c>
      <c r="F96" t="str">
        <f t="shared" si="3"/>
        <v/>
      </c>
    </row>
    <row r="97" spans="5:6" x14ac:dyDescent="0.4">
      <c r="E97" t="str">
        <f t="shared" si="2"/>
        <v/>
      </c>
      <c r="F97" t="str">
        <f t="shared" si="3"/>
        <v/>
      </c>
    </row>
    <row r="98" spans="5:6" x14ac:dyDescent="0.4">
      <c r="E98" t="str">
        <f t="shared" si="2"/>
        <v/>
      </c>
      <c r="F98" t="str">
        <f t="shared" si="3"/>
        <v/>
      </c>
    </row>
    <row r="99" spans="5:6" x14ac:dyDescent="0.4">
      <c r="E99" t="str">
        <f t="shared" si="2"/>
        <v/>
      </c>
      <c r="F99" t="str">
        <f t="shared" si="3"/>
        <v/>
      </c>
    </row>
    <row r="100" spans="5:6" x14ac:dyDescent="0.4">
      <c r="E100" t="str">
        <f t="shared" si="2"/>
        <v/>
      </c>
      <c r="F100" t="str">
        <f t="shared" si="3"/>
        <v/>
      </c>
    </row>
    <row r="101" spans="5:6" x14ac:dyDescent="0.4">
      <c r="E101" t="str">
        <f t="shared" si="2"/>
        <v/>
      </c>
      <c r="F101" t="str">
        <f t="shared" si="3"/>
        <v/>
      </c>
    </row>
    <row r="102" spans="5:6" x14ac:dyDescent="0.4">
      <c r="E102" t="str">
        <f t="shared" si="2"/>
        <v/>
      </c>
      <c r="F102" t="str">
        <f t="shared" si="3"/>
        <v/>
      </c>
    </row>
    <row r="103" spans="5:6" x14ac:dyDescent="0.4">
      <c r="E103" t="str">
        <f t="shared" si="2"/>
        <v/>
      </c>
      <c r="F103" t="str">
        <f t="shared" si="3"/>
        <v/>
      </c>
    </row>
    <row r="104" spans="5:6" x14ac:dyDescent="0.4">
      <c r="E104" t="str">
        <f t="shared" si="2"/>
        <v/>
      </c>
      <c r="F104" t="str">
        <f t="shared" si="3"/>
        <v/>
      </c>
    </row>
    <row r="105" spans="5:6" x14ac:dyDescent="0.4">
      <c r="E105" t="str">
        <f t="shared" si="2"/>
        <v/>
      </c>
      <c r="F105" t="str">
        <f t="shared" si="3"/>
        <v/>
      </c>
    </row>
    <row r="106" spans="5:6" x14ac:dyDescent="0.4">
      <c r="E106" t="str">
        <f t="shared" si="2"/>
        <v/>
      </c>
      <c r="F106" t="str">
        <f t="shared" si="3"/>
        <v/>
      </c>
    </row>
    <row r="107" spans="5:6" x14ac:dyDescent="0.4">
      <c r="E107" t="str">
        <f t="shared" si="2"/>
        <v/>
      </c>
      <c r="F107" t="str">
        <f t="shared" si="3"/>
        <v/>
      </c>
    </row>
    <row r="108" spans="5:6" x14ac:dyDescent="0.4">
      <c r="E108" t="str">
        <f t="shared" si="2"/>
        <v/>
      </c>
      <c r="F108" t="str">
        <f t="shared" si="3"/>
        <v/>
      </c>
    </row>
    <row r="109" spans="5:6" x14ac:dyDescent="0.4">
      <c r="E109" t="str">
        <f t="shared" si="2"/>
        <v/>
      </c>
      <c r="F109" t="str">
        <f t="shared" si="3"/>
        <v/>
      </c>
    </row>
    <row r="110" spans="5:6" x14ac:dyDescent="0.4">
      <c r="E110" t="str">
        <f t="shared" si="2"/>
        <v/>
      </c>
      <c r="F110" t="str">
        <f t="shared" si="3"/>
        <v/>
      </c>
    </row>
    <row r="111" spans="5:6" x14ac:dyDescent="0.4">
      <c r="E111" t="str">
        <f t="shared" si="2"/>
        <v/>
      </c>
      <c r="F111" t="str">
        <f t="shared" si="3"/>
        <v/>
      </c>
    </row>
    <row r="112" spans="5:6" x14ac:dyDescent="0.4">
      <c r="E112" t="str">
        <f t="shared" si="2"/>
        <v/>
      </c>
      <c r="F112" t="str">
        <f t="shared" si="3"/>
        <v/>
      </c>
    </row>
    <row r="113" spans="5:6" x14ac:dyDescent="0.4">
      <c r="E113" t="str">
        <f t="shared" si="2"/>
        <v/>
      </c>
      <c r="F113" t="str">
        <f t="shared" si="3"/>
        <v/>
      </c>
    </row>
    <row r="114" spans="5:6" x14ac:dyDescent="0.4">
      <c r="E114" t="str">
        <f t="shared" si="2"/>
        <v/>
      </c>
      <c r="F114" t="str">
        <f t="shared" si="3"/>
        <v/>
      </c>
    </row>
    <row r="115" spans="5:6" x14ac:dyDescent="0.4">
      <c r="E115" t="str">
        <f t="shared" si="2"/>
        <v/>
      </c>
      <c r="F115" t="str">
        <f t="shared" si="3"/>
        <v/>
      </c>
    </row>
    <row r="116" spans="5:6" x14ac:dyDescent="0.4">
      <c r="E116" t="str">
        <f t="shared" si="2"/>
        <v/>
      </c>
      <c r="F116" t="str">
        <f t="shared" si="3"/>
        <v/>
      </c>
    </row>
    <row r="117" spans="5:6" x14ac:dyDescent="0.4">
      <c r="E117" t="str">
        <f t="shared" si="2"/>
        <v/>
      </c>
      <c r="F117" t="str">
        <f t="shared" si="3"/>
        <v/>
      </c>
    </row>
    <row r="118" spans="5:6" x14ac:dyDescent="0.4">
      <c r="E118" t="str">
        <f t="shared" si="2"/>
        <v/>
      </c>
      <c r="F118" t="str">
        <f t="shared" si="3"/>
        <v/>
      </c>
    </row>
    <row r="119" spans="5:6" x14ac:dyDescent="0.4">
      <c r="E119" t="str">
        <f t="shared" si="2"/>
        <v/>
      </c>
      <c r="F119" t="str">
        <f t="shared" si="3"/>
        <v/>
      </c>
    </row>
    <row r="120" spans="5:6" x14ac:dyDescent="0.4">
      <c r="E120" t="str">
        <f t="shared" si="2"/>
        <v/>
      </c>
      <c r="F120" t="str">
        <f t="shared" si="3"/>
        <v/>
      </c>
    </row>
    <row r="121" spans="5:6" x14ac:dyDescent="0.4">
      <c r="E121" t="str">
        <f t="shared" si="2"/>
        <v/>
      </c>
      <c r="F121" t="str">
        <f t="shared" si="3"/>
        <v/>
      </c>
    </row>
    <row r="122" spans="5:6" x14ac:dyDescent="0.4">
      <c r="E122" t="str">
        <f t="shared" si="2"/>
        <v/>
      </c>
      <c r="F122" t="str">
        <f t="shared" si="3"/>
        <v/>
      </c>
    </row>
    <row r="123" spans="5:6" x14ac:dyDescent="0.4">
      <c r="E123" t="str">
        <f t="shared" si="2"/>
        <v/>
      </c>
      <c r="F123" t="str">
        <f t="shared" si="3"/>
        <v/>
      </c>
    </row>
    <row r="124" spans="5:6" x14ac:dyDescent="0.4">
      <c r="E124" t="str">
        <f t="shared" si="2"/>
        <v/>
      </c>
      <c r="F124" t="str">
        <f t="shared" si="3"/>
        <v/>
      </c>
    </row>
    <row r="125" spans="5:6" x14ac:dyDescent="0.4">
      <c r="E125" t="str">
        <f t="shared" si="2"/>
        <v/>
      </c>
      <c r="F125" t="str">
        <f t="shared" si="3"/>
        <v/>
      </c>
    </row>
    <row r="126" spans="5:6" x14ac:dyDescent="0.4">
      <c r="E126" t="str">
        <f t="shared" si="2"/>
        <v/>
      </c>
      <c r="F126" t="str">
        <f t="shared" si="3"/>
        <v/>
      </c>
    </row>
    <row r="127" spans="5:6" x14ac:dyDescent="0.4">
      <c r="E127" t="str">
        <f t="shared" si="2"/>
        <v/>
      </c>
      <c r="F127" t="str">
        <f t="shared" si="3"/>
        <v/>
      </c>
    </row>
    <row r="128" spans="5:6" x14ac:dyDescent="0.4">
      <c r="E128" t="str">
        <f t="shared" si="2"/>
        <v/>
      </c>
      <c r="F128" t="str">
        <f t="shared" si="3"/>
        <v/>
      </c>
    </row>
    <row r="129" spans="5:6" x14ac:dyDescent="0.4">
      <c r="E129" t="str">
        <f t="shared" si="2"/>
        <v/>
      </c>
      <c r="F129" t="str">
        <f t="shared" si="3"/>
        <v/>
      </c>
    </row>
    <row r="130" spans="5:6" x14ac:dyDescent="0.4">
      <c r="E130" t="str">
        <f t="shared" si="2"/>
        <v/>
      </c>
      <c r="F130" t="str">
        <f t="shared" si="3"/>
        <v/>
      </c>
    </row>
    <row r="131" spans="5:6" x14ac:dyDescent="0.4">
      <c r="E131" t="str">
        <f t="shared" ref="E131:E194" si="4">IF(A131="","",A131)</f>
        <v/>
      </c>
      <c r="F131" t="str">
        <f t="shared" ref="F131:F194" si="5">IF(B131="","",B131&amp;" [TIMESreport "&amp;C131&amp;"]")</f>
        <v/>
      </c>
    </row>
    <row r="132" spans="5:6" x14ac:dyDescent="0.4">
      <c r="E132" t="str">
        <f t="shared" si="4"/>
        <v/>
      </c>
      <c r="F132" t="str">
        <f t="shared" si="5"/>
        <v/>
      </c>
    </row>
    <row r="133" spans="5:6" x14ac:dyDescent="0.4">
      <c r="E133" t="str">
        <f t="shared" si="4"/>
        <v/>
      </c>
      <c r="F133" t="str">
        <f t="shared" si="5"/>
        <v/>
      </c>
    </row>
    <row r="134" spans="5:6" x14ac:dyDescent="0.4">
      <c r="E134" t="str">
        <f t="shared" si="4"/>
        <v/>
      </c>
      <c r="F134" t="str">
        <f t="shared" si="5"/>
        <v/>
      </c>
    </row>
    <row r="135" spans="5:6" x14ac:dyDescent="0.4">
      <c r="E135" t="str">
        <f t="shared" si="4"/>
        <v/>
      </c>
      <c r="F135" t="str">
        <f t="shared" si="5"/>
        <v/>
      </c>
    </row>
    <row r="136" spans="5:6" x14ac:dyDescent="0.4">
      <c r="E136" t="str">
        <f t="shared" si="4"/>
        <v/>
      </c>
      <c r="F136" t="str">
        <f t="shared" si="5"/>
        <v/>
      </c>
    </row>
    <row r="137" spans="5:6" x14ac:dyDescent="0.4">
      <c r="E137" t="str">
        <f t="shared" si="4"/>
        <v/>
      </c>
      <c r="F137" t="str">
        <f t="shared" si="5"/>
        <v/>
      </c>
    </row>
    <row r="138" spans="5:6" x14ac:dyDescent="0.4">
      <c r="E138" t="str">
        <f t="shared" si="4"/>
        <v/>
      </c>
      <c r="F138" t="str">
        <f t="shared" si="5"/>
        <v/>
      </c>
    </row>
    <row r="139" spans="5:6" x14ac:dyDescent="0.4">
      <c r="E139" t="str">
        <f t="shared" si="4"/>
        <v/>
      </c>
      <c r="F139" t="str">
        <f t="shared" si="5"/>
        <v/>
      </c>
    </row>
    <row r="140" spans="5:6" x14ac:dyDescent="0.4">
      <c r="E140" t="str">
        <f t="shared" si="4"/>
        <v/>
      </c>
      <c r="F140" t="str">
        <f t="shared" si="5"/>
        <v/>
      </c>
    </row>
    <row r="141" spans="5:6" x14ac:dyDescent="0.4">
      <c r="E141" t="str">
        <f t="shared" si="4"/>
        <v/>
      </c>
      <c r="F141" t="str">
        <f t="shared" si="5"/>
        <v/>
      </c>
    </row>
    <row r="142" spans="5:6" x14ac:dyDescent="0.4">
      <c r="E142" t="str">
        <f t="shared" si="4"/>
        <v/>
      </c>
      <c r="F142" t="str">
        <f t="shared" si="5"/>
        <v/>
      </c>
    </row>
    <row r="143" spans="5:6" x14ac:dyDescent="0.4">
      <c r="E143" t="str">
        <f t="shared" si="4"/>
        <v/>
      </c>
      <c r="F143" t="str">
        <f t="shared" si="5"/>
        <v/>
      </c>
    </row>
    <row r="144" spans="5:6" x14ac:dyDescent="0.4">
      <c r="E144" t="str">
        <f t="shared" si="4"/>
        <v/>
      </c>
      <c r="F144" t="str">
        <f t="shared" si="5"/>
        <v/>
      </c>
    </row>
    <row r="145" spans="5:6" x14ac:dyDescent="0.4">
      <c r="E145" t="str">
        <f t="shared" si="4"/>
        <v/>
      </c>
      <c r="F145" t="str">
        <f t="shared" si="5"/>
        <v/>
      </c>
    </row>
    <row r="146" spans="5:6" x14ac:dyDescent="0.4">
      <c r="E146" t="str">
        <f t="shared" si="4"/>
        <v/>
      </c>
      <c r="F146" t="str">
        <f t="shared" si="5"/>
        <v/>
      </c>
    </row>
    <row r="147" spans="5:6" x14ac:dyDescent="0.4">
      <c r="E147" t="str">
        <f t="shared" si="4"/>
        <v/>
      </c>
      <c r="F147" t="str">
        <f t="shared" si="5"/>
        <v/>
      </c>
    </row>
    <row r="148" spans="5:6" x14ac:dyDescent="0.4">
      <c r="E148" t="str">
        <f t="shared" si="4"/>
        <v/>
      </c>
      <c r="F148" t="str">
        <f t="shared" si="5"/>
        <v/>
      </c>
    </row>
    <row r="149" spans="5:6" x14ac:dyDescent="0.4">
      <c r="E149" t="str">
        <f t="shared" si="4"/>
        <v/>
      </c>
      <c r="F149" t="str">
        <f t="shared" si="5"/>
        <v/>
      </c>
    </row>
    <row r="150" spans="5:6" x14ac:dyDescent="0.4">
      <c r="E150" t="str">
        <f t="shared" si="4"/>
        <v/>
      </c>
      <c r="F150" t="str">
        <f t="shared" si="5"/>
        <v/>
      </c>
    </row>
    <row r="151" spans="5:6" x14ac:dyDescent="0.4">
      <c r="E151" t="str">
        <f t="shared" si="4"/>
        <v/>
      </c>
      <c r="F151" t="str">
        <f t="shared" si="5"/>
        <v/>
      </c>
    </row>
    <row r="152" spans="5:6" x14ac:dyDescent="0.4">
      <c r="E152" t="str">
        <f t="shared" si="4"/>
        <v/>
      </c>
      <c r="F152" t="str">
        <f t="shared" si="5"/>
        <v/>
      </c>
    </row>
    <row r="153" spans="5:6" x14ac:dyDescent="0.4">
      <c r="E153" t="str">
        <f t="shared" si="4"/>
        <v/>
      </c>
      <c r="F153" t="str">
        <f t="shared" si="5"/>
        <v/>
      </c>
    </row>
    <row r="154" spans="5:6" x14ac:dyDescent="0.4">
      <c r="E154" t="str">
        <f t="shared" si="4"/>
        <v/>
      </c>
      <c r="F154" t="str">
        <f t="shared" si="5"/>
        <v/>
      </c>
    </row>
    <row r="155" spans="5:6" x14ac:dyDescent="0.4">
      <c r="E155" t="str">
        <f t="shared" si="4"/>
        <v/>
      </c>
      <c r="F155" t="str">
        <f t="shared" si="5"/>
        <v/>
      </c>
    </row>
    <row r="156" spans="5:6" x14ac:dyDescent="0.4">
      <c r="E156" t="str">
        <f t="shared" si="4"/>
        <v/>
      </c>
      <c r="F156" t="str">
        <f t="shared" si="5"/>
        <v/>
      </c>
    </row>
    <row r="157" spans="5:6" x14ac:dyDescent="0.4">
      <c r="E157" t="str">
        <f t="shared" si="4"/>
        <v/>
      </c>
      <c r="F157" t="str">
        <f t="shared" si="5"/>
        <v/>
      </c>
    </row>
    <row r="158" spans="5:6" x14ac:dyDescent="0.4">
      <c r="E158" t="str">
        <f t="shared" si="4"/>
        <v/>
      </c>
      <c r="F158" t="str">
        <f t="shared" si="5"/>
        <v/>
      </c>
    </row>
    <row r="159" spans="5:6" x14ac:dyDescent="0.4">
      <c r="E159" t="str">
        <f t="shared" si="4"/>
        <v/>
      </c>
      <c r="F159" t="str">
        <f t="shared" si="5"/>
        <v/>
      </c>
    </row>
    <row r="160" spans="5:6" x14ac:dyDescent="0.4">
      <c r="E160" t="str">
        <f t="shared" si="4"/>
        <v/>
      </c>
      <c r="F160" t="str">
        <f t="shared" si="5"/>
        <v/>
      </c>
    </row>
    <row r="161" spans="5:6" x14ac:dyDescent="0.4">
      <c r="E161" t="str">
        <f t="shared" si="4"/>
        <v/>
      </c>
      <c r="F161" t="str">
        <f t="shared" si="5"/>
        <v/>
      </c>
    </row>
    <row r="162" spans="5:6" x14ac:dyDescent="0.4">
      <c r="E162" t="str">
        <f t="shared" si="4"/>
        <v/>
      </c>
      <c r="F162" t="str">
        <f t="shared" si="5"/>
        <v/>
      </c>
    </row>
    <row r="163" spans="5:6" x14ac:dyDescent="0.4">
      <c r="E163" t="str">
        <f t="shared" si="4"/>
        <v/>
      </c>
      <c r="F163" t="str">
        <f t="shared" si="5"/>
        <v/>
      </c>
    </row>
    <row r="164" spans="5:6" x14ac:dyDescent="0.4">
      <c r="E164" t="str">
        <f t="shared" si="4"/>
        <v/>
      </c>
      <c r="F164" t="str">
        <f t="shared" si="5"/>
        <v/>
      </c>
    </row>
    <row r="165" spans="5:6" x14ac:dyDescent="0.4">
      <c r="E165" t="str">
        <f t="shared" si="4"/>
        <v/>
      </c>
      <c r="F165" t="str">
        <f t="shared" si="5"/>
        <v/>
      </c>
    </row>
    <row r="166" spans="5:6" x14ac:dyDescent="0.4">
      <c r="E166" t="str">
        <f t="shared" si="4"/>
        <v/>
      </c>
      <c r="F166" t="str">
        <f t="shared" si="5"/>
        <v/>
      </c>
    </row>
    <row r="167" spans="5:6" x14ac:dyDescent="0.4">
      <c r="E167" t="str">
        <f t="shared" si="4"/>
        <v/>
      </c>
      <c r="F167" t="str">
        <f t="shared" si="5"/>
        <v/>
      </c>
    </row>
    <row r="168" spans="5:6" x14ac:dyDescent="0.4">
      <c r="E168" t="str">
        <f t="shared" si="4"/>
        <v/>
      </c>
      <c r="F168" t="str">
        <f t="shared" si="5"/>
        <v/>
      </c>
    </row>
    <row r="169" spans="5:6" x14ac:dyDescent="0.4">
      <c r="E169" t="str">
        <f t="shared" si="4"/>
        <v/>
      </c>
      <c r="F169" t="str">
        <f t="shared" si="5"/>
        <v/>
      </c>
    </row>
    <row r="170" spans="5:6" x14ac:dyDescent="0.4">
      <c r="E170" t="str">
        <f t="shared" si="4"/>
        <v/>
      </c>
      <c r="F170" t="str">
        <f t="shared" si="5"/>
        <v/>
      </c>
    </row>
    <row r="171" spans="5:6" x14ac:dyDescent="0.4">
      <c r="E171" t="str">
        <f t="shared" si="4"/>
        <v/>
      </c>
      <c r="F171" t="str">
        <f t="shared" si="5"/>
        <v/>
      </c>
    </row>
    <row r="172" spans="5:6" x14ac:dyDescent="0.4">
      <c r="E172" t="str">
        <f t="shared" si="4"/>
        <v/>
      </c>
      <c r="F172" t="str">
        <f t="shared" si="5"/>
        <v/>
      </c>
    </row>
    <row r="173" spans="5:6" x14ac:dyDescent="0.4">
      <c r="E173" t="str">
        <f t="shared" si="4"/>
        <v/>
      </c>
      <c r="F173" t="str">
        <f t="shared" si="5"/>
        <v/>
      </c>
    </row>
    <row r="174" spans="5:6" x14ac:dyDescent="0.4">
      <c r="E174" t="str">
        <f t="shared" si="4"/>
        <v/>
      </c>
      <c r="F174" t="str">
        <f t="shared" si="5"/>
        <v/>
      </c>
    </row>
    <row r="175" spans="5:6" x14ac:dyDescent="0.4">
      <c r="E175" t="str">
        <f t="shared" si="4"/>
        <v/>
      </c>
      <c r="F175" t="str">
        <f t="shared" si="5"/>
        <v/>
      </c>
    </row>
    <row r="176" spans="5:6" x14ac:dyDescent="0.4">
      <c r="E176" t="str">
        <f t="shared" si="4"/>
        <v/>
      </c>
      <c r="F176" t="str">
        <f t="shared" si="5"/>
        <v/>
      </c>
    </row>
    <row r="177" spans="5:6" x14ac:dyDescent="0.4">
      <c r="E177" t="str">
        <f t="shared" si="4"/>
        <v/>
      </c>
      <c r="F177" t="str">
        <f t="shared" si="5"/>
        <v/>
      </c>
    </row>
    <row r="178" spans="5:6" x14ac:dyDescent="0.4">
      <c r="E178" t="str">
        <f t="shared" si="4"/>
        <v/>
      </c>
      <c r="F178" t="str">
        <f t="shared" si="5"/>
        <v/>
      </c>
    </row>
    <row r="179" spans="5:6" x14ac:dyDescent="0.4">
      <c r="E179" t="str">
        <f t="shared" si="4"/>
        <v/>
      </c>
      <c r="F179" t="str">
        <f t="shared" si="5"/>
        <v/>
      </c>
    </row>
    <row r="180" spans="5:6" x14ac:dyDescent="0.4">
      <c r="E180" t="str">
        <f t="shared" si="4"/>
        <v/>
      </c>
      <c r="F180" t="str">
        <f t="shared" si="5"/>
        <v/>
      </c>
    </row>
    <row r="181" spans="5:6" x14ac:dyDescent="0.4">
      <c r="E181" t="str">
        <f t="shared" si="4"/>
        <v/>
      </c>
      <c r="F181" t="str">
        <f t="shared" si="5"/>
        <v/>
      </c>
    </row>
    <row r="182" spans="5:6" x14ac:dyDescent="0.4">
      <c r="E182" t="str">
        <f t="shared" si="4"/>
        <v/>
      </c>
      <c r="F182" t="str">
        <f t="shared" si="5"/>
        <v/>
      </c>
    </row>
    <row r="183" spans="5:6" x14ac:dyDescent="0.4">
      <c r="E183" t="str">
        <f t="shared" si="4"/>
        <v/>
      </c>
      <c r="F183" t="str">
        <f t="shared" si="5"/>
        <v/>
      </c>
    </row>
    <row r="184" spans="5:6" x14ac:dyDescent="0.4">
      <c r="E184" t="str">
        <f t="shared" si="4"/>
        <v/>
      </c>
      <c r="F184" t="str">
        <f t="shared" si="5"/>
        <v/>
      </c>
    </row>
    <row r="185" spans="5:6" x14ac:dyDescent="0.4">
      <c r="E185" t="str">
        <f t="shared" si="4"/>
        <v/>
      </c>
      <c r="F185" t="str">
        <f t="shared" si="5"/>
        <v/>
      </c>
    </row>
    <row r="186" spans="5:6" x14ac:dyDescent="0.4">
      <c r="E186" t="str">
        <f t="shared" si="4"/>
        <v/>
      </c>
      <c r="F186" t="str">
        <f t="shared" si="5"/>
        <v/>
      </c>
    </row>
    <row r="187" spans="5:6" x14ac:dyDescent="0.4">
      <c r="E187" t="str">
        <f t="shared" si="4"/>
        <v/>
      </c>
      <c r="F187" t="str">
        <f t="shared" si="5"/>
        <v/>
      </c>
    </row>
    <row r="188" spans="5:6" x14ac:dyDescent="0.4">
      <c r="E188" t="str">
        <f t="shared" si="4"/>
        <v/>
      </c>
      <c r="F188" t="str">
        <f t="shared" si="5"/>
        <v/>
      </c>
    </row>
    <row r="189" spans="5:6" x14ac:dyDescent="0.4">
      <c r="E189" t="str">
        <f t="shared" si="4"/>
        <v/>
      </c>
      <c r="F189" t="str">
        <f t="shared" si="5"/>
        <v/>
      </c>
    </row>
    <row r="190" spans="5:6" x14ac:dyDescent="0.4">
      <c r="E190" t="str">
        <f t="shared" si="4"/>
        <v/>
      </c>
      <c r="F190" t="str">
        <f t="shared" si="5"/>
        <v/>
      </c>
    </row>
    <row r="191" spans="5:6" x14ac:dyDescent="0.4">
      <c r="E191" t="str">
        <f t="shared" si="4"/>
        <v/>
      </c>
      <c r="F191" t="str">
        <f t="shared" si="5"/>
        <v/>
      </c>
    </row>
    <row r="192" spans="5:6" x14ac:dyDescent="0.4">
      <c r="E192" t="str">
        <f t="shared" si="4"/>
        <v/>
      </c>
      <c r="F192" t="str">
        <f t="shared" si="5"/>
        <v/>
      </c>
    </row>
    <row r="193" spans="5:6" x14ac:dyDescent="0.4">
      <c r="E193" t="str">
        <f t="shared" si="4"/>
        <v/>
      </c>
      <c r="F193" t="str">
        <f t="shared" si="5"/>
        <v/>
      </c>
    </row>
    <row r="194" spans="5:6" x14ac:dyDescent="0.4">
      <c r="E194" t="str">
        <f t="shared" si="4"/>
        <v/>
      </c>
      <c r="F194" t="str">
        <f t="shared" si="5"/>
        <v/>
      </c>
    </row>
    <row r="195" spans="5:6" x14ac:dyDescent="0.4">
      <c r="E195" t="str">
        <f t="shared" ref="E195:E208" si="6">IF(A195="","",A195)</f>
        <v/>
      </c>
      <c r="F195" t="str">
        <f t="shared" ref="F195:F208" si="7">IF(B195="","",B195&amp;" [TIMESreport "&amp;C195&amp;"]")</f>
        <v/>
      </c>
    </row>
    <row r="196" spans="5:6" x14ac:dyDescent="0.4">
      <c r="E196" t="str">
        <f t="shared" si="6"/>
        <v/>
      </c>
      <c r="F196" t="str">
        <f t="shared" si="7"/>
        <v/>
      </c>
    </row>
    <row r="197" spans="5:6" x14ac:dyDescent="0.4">
      <c r="E197" t="str">
        <f t="shared" si="6"/>
        <v/>
      </c>
      <c r="F197" t="str">
        <f t="shared" si="7"/>
        <v/>
      </c>
    </row>
    <row r="198" spans="5:6" x14ac:dyDescent="0.4">
      <c r="E198" t="str">
        <f t="shared" si="6"/>
        <v/>
      </c>
      <c r="F198" t="str">
        <f t="shared" si="7"/>
        <v/>
      </c>
    </row>
    <row r="199" spans="5:6" x14ac:dyDescent="0.4">
      <c r="E199" t="str">
        <f t="shared" si="6"/>
        <v/>
      </c>
      <c r="F199" t="str">
        <f t="shared" si="7"/>
        <v/>
      </c>
    </row>
    <row r="200" spans="5:6" x14ac:dyDescent="0.4">
      <c r="E200" t="str">
        <f t="shared" si="6"/>
        <v/>
      </c>
      <c r="F200" t="str">
        <f t="shared" si="7"/>
        <v/>
      </c>
    </row>
    <row r="201" spans="5:6" x14ac:dyDescent="0.4">
      <c r="E201" t="str">
        <f t="shared" si="6"/>
        <v/>
      </c>
      <c r="F201" t="str">
        <f t="shared" si="7"/>
        <v/>
      </c>
    </row>
    <row r="202" spans="5:6" x14ac:dyDescent="0.4">
      <c r="E202" t="str">
        <f t="shared" si="6"/>
        <v/>
      </c>
      <c r="F202" t="str">
        <f t="shared" si="7"/>
        <v/>
      </c>
    </row>
    <row r="203" spans="5:6" x14ac:dyDescent="0.4">
      <c r="E203" t="str">
        <f t="shared" si="6"/>
        <v/>
      </c>
      <c r="F203" t="str">
        <f t="shared" si="7"/>
        <v/>
      </c>
    </row>
    <row r="204" spans="5:6" x14ac:dyDescent="0.4">
      <c r="E204" t="str">
        <f t="shared" si="6"/>
        <v/>
      </c>
      <c r="F204" t="str">
        <f t="shared" si="7"/>
        <v/>
      </c>
    </row>
    <row r="205" spans="5:6" x14ac:dyDescent="0.4">
      <c r="E205" t="str">
        <f t="shared" si="6"/>
        <v/>
      </c>
      <c r="F205" t="str">
        <f t="shared" si="7"/>
        <v/>
      </c>
    </row>
    <row r="206" spans="5:6" x14ac:dyDescent="0.4">
      <c r="E206" t="str">
        <f t="shared" si="6"/>
        <v/>
      </c>
      <c r="F206" t="str">
        <f t="shared" si="7"/>
        <v/>
      </c>
    </row>
    <row r="207" spans="5:6" x14ac:dyDescent="0.4">
      <c r="E207" t="str">
        <f t="shared" si="6"/>
        <v/>
      </c>
      <c r="F207" t="str">
        <f t="shared" si="7"/>
        <v/>
      </c>
    </row>
    <row r="208" spans="5:6" x14ac:dyDescent="0.4">
      <c r="E208" t="str">
        <f t="shared" si="6"/>
        <v/>
      </c>
      <c r="F208" t="str">
        <f t="shared" si="7"/>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CopyDataToWorkbooks">
                <anchor moveWithCells="1" sizeWithCells="1">
                  <from>
                    <xdr:col>13</xdr:col>
                    <xdr:colOff>201386</xdr:colOff>
                    <xdr:row>2</xdr:row>
                    <xdr:rowOff>136071</xdr:rowOff>
                  </from>
                  <to>
                    <xdr:col>20</xdr:col>
                    <xdr:colOff>21771</xdr:colOff>
                    <xdr:row>12</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VEDA_Sets-Comm</vt:lpstr>
      <vt:lpstr>VEDA_Sets-Proc</vt:lpstr>
      <vt:lpstr>TIMESreport_Sets-Comm</vt:lpstr>
      <vt:lpstr>TIMESreport_Sets-Proc</vt:lpstr>
      <vt:lpstr>TIMESreport_RangeCommoditySets</vt:lpstr>
      <vt:lpstr>TIMESreport_RangeProcesSets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Kanudia</dc:creator>
  <cp:lastModifiedBy>Kristoffer Steen Andersen</cp:lastModifiedBy>
  <dcterms:created xsi:type="dcterms:W3CDTF">2020-06-02T08:50:42Z</dcterms:created>
  <dcterms:modified xsi:type="dcterms:W3CDTF">2026-05-20T17:19:16Z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687954127788543</vt:r8>
  </property>
</Properties>
</file>