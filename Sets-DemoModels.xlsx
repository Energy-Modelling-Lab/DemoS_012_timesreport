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Demo_models\DemoS_012_timesreport-master\"/>
    </mc:Choice>
  </mc:AlternateContent>
  <xr:revisionPtr revIDLastSave="0" documentId="13_ncr:1_{6341B32A-B8C4-44F1-AD21-F37528D9EA5A}" xr6:coauthVersionLast="47" xr6:coauthVersionMax="47" xr10:uidLastSave="{00000000-0000-0000-0000-000000000000}"/>
  <bookViews>
    <workbookView xWindow="25060" yWindow="0" windowWidth="13310" windowHeight="21000" activeTab="2" xr2:uid="{008F860A-1793-4F78-8899-BE3F7B7A437A}"/>
  </bookViews>
  <sheets>
    <sheet name="VEDA_Sets-Comm" sheetId="2" r:id="rId1"/>
    <sheet name="VEDA_Sets-Proc" sheetId="1" r:id="rId2"/>
    <sheet name="TIMESreport_Sets-Comm" sheetId="3" r:id="rId3"/>
    <sheet name="TIMESreport_Sets-Pro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4" l="1"/>
  <c r="F26" i="4"/>
  <c r="F25" i="4"/>
  <c r="G27" i="4"/>
  <c r="G26" i="4" l="1"/>
  <c r="G25" i="4" l="1"/>
  <c r="G20" i="4"/>
  <c r="F20" i="4"/>
  <c r="G23" i="4"/>
  <c r="F23" i="4"/>
  <c r="G22" i="4"/>
  <c r="F22" i="4"/>
  <c r="D7" i="3"/>
  <c r="D6" i="3"/>
  <c r="D5" i="3"/>
  <c r="D4" i="3"/>
  <c r="D3" i="3"/>
  <c r="D8" i="3"/>
  <c r="E8" i="3"/>
  <c r="G24" i="4"/>
  <c r="F24" i="4"/>
  <c r="G21" i="4"/>
  <c r="F21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F3" i="4"/>
  <c r="G3" i="4" l="1"/>
  <c r="E7" i="3"/>
  <c r="E6" i="3"/>
  <c r="E5" i="3"/>
  <c r="E4" i="3"/>
  <c r="E3" i="3"/>
</calcChain>
</file>

<file path=xl/sharedStrings.xml><?xml version="1.0" encoding="utf-8"?>
<sst xmlns="http://schemas.openxmlformats.org/spreadsheetml/2006/main" count="947" uniqueCount="188">
  <si>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</si>
  <si>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</si>
  <si>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</si>
  <si>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</si>
  <si>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</si>
  <si>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</si>
  <si>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</si>
  <si>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</si>
  <si>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</si>
  <si>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</si>
  <si>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</si>
  <si>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</si>
  <si>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</si>
  <si>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</si>
  <si>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</si>
  <si>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</si>
  <si>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</si>
  <si>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</si>
  <si>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</si>
  <si>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</si>
  <si>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</si>
  <si>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</si>
  <si>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</si>
  <si>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</si>
  <si>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</si>
  <si>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</si>
  <si>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</si>
  <si>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</si>
  <si>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</si>
  <si>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</si>
  <si>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</si>
  <si>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ELCSOL</t>
  </si>
  <si>
    <t>ELESOL</t>
  </si>
  <si>
    <t>ELCWIN</t>
  </si>
  <si>
    <t>ELEWIN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</si>
  <si>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</si>
  <si>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</si>
  <si>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</si>
  <si>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</si>
  <si>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</si>
  <si>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</si>
  <si>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</si>
  <si>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</si>
  <si>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</si>
  <si>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</si>
  <si>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</si>
  <si>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</si>
  <si>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</si>
  <si>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</si>
  <si>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</si>
  <si>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</si>
  <si>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</si>
  <si>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</si>
  <si>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</si>
  <si>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</si>
  <si>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</si>
  <si>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</si>
  <si>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</si>
  <si>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</si>
  <si>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</si>
  <si>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</si>
  <si>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</si>
  <si>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</si>
  <si>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</si>
  <si>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</si>
  <si>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</si>
  <si>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</si>
  <si>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</si>
  <si>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</si>
  <si>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</si>
  <si>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</si>
  <si>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</si>
  <si>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</si>
  <si>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</si>
  <si>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</si>
  <si>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</si>
  <si>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</si>
  <si>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</si>
  <si>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</si>
  <si>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</si>
  <si>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</si>
  <si>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</si>
  <si>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</si>
  <si>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</si>
  <si>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</si>
  <si>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MINING</t>
  </si>
  <si>
    <t>Mining technologies</t>
  </si>
  <si>
    <t>EXP*,IMP*</t>
  </si>
  <si>
    <t>TRADE</t>
  </si>
  <si>
    <t>Trade technologies</t>
  </si>
  <si>
    <t>REF*</t>
  </si>
  <si>
    <t xml:space="preserve">Refinery </t>
  </si>
  <si>
    <t>REFINERY</t>
  </si>
  <si>
    <t>A*</t>
  </si>
  <si>
    <t>AGRICULTURE</t>
  </si>
  <si>
    <t>Agriculture sector</t>
  </si>
  <si>
    <t>C*</t>
  </si>
  <si>
    <t>COMMERCIAL</t>
  </si>
  <si>
    <t>RESIDENTIAL</t>
  </si>
  <si>
    <t>Residential sector</t>
  </si>
  <si>
    <t>Commercial sector</t>
  </si>
  <si>
    <t>TRANSPORT</t>
  </si>
  <si>
    <t>Transport sector</t>
  </si>
  <si>
    <t>Electricity supply sector</t>
  </si>
  <si>
    <t>Industry sector</t>
  </si>
  <si>
    <t>INDUSTRY</t>
  </si>
  <si>
    <t>T*,-TU*,-TB*</t>
  </si>
  <si>
    <t>TRANSMISSION</t>
  </si>
  <si>
    <t>Transmission of electricity and gas</t>
  </si>
  <si>
    <t>TU*,TB*</t>
  </si>
  <si>
    <t>I*,-IMP*</t>
  </si>
  <si>
    <t>R*,-REF*</t>
  </si>
  <si>
    <t>ELECTRICITY</t>
  </si>
  <si>
    <t>Sector definition for TIMESreport</t>
  </si>
  <si>
    <t>Default set in DemoModel</t>
  </si>
  <si>
    <t>ELC*</t>
  </si>
  <si>
    <t>Name</t>
  </si>
  <si>
    <t>Description</t>
  </si>
  <si>
    <t>TIMESReport</t>
  </si>
  <si>
    <t>sector</t>
  </si>
  <si>
    <t>service</t>
  </si>
  <si>
    <t>subsector</t>
  </si>
  <si>
    <t>techgroup</t>
  </si>
  <si>
    <t>comgroup</t>
  </si>
  <si>
    <t>Electricity</t>
  </si>
  <si>
    <t>Gas</t>
  </si>
  <si>
    <t>Nuclear</t>
  </si>
  <si>
    <t>Oil</t>
  </si>
  <si>
    <t>Renewable</t>
  </si>
  <si>
    <t>TFM_Csets</t>
  </si>
  <si>
    <t>TR_ELE</t>
  </si>
  <si>
    <t>TR_IND</t>
  </si>
  <si>
    <t>TR_MIN</t>
  </si>
  <si>
    <t>TR_TRD</t>
  </si>
  <si>
    <t>TR_REF</t>
  </si>
  <si>
    <t>TR_AGR</t>
  </si>
  <si>
    <t>TR_COM</t>
  </si>
  <si>
    <t>TR_RES</t>
  </si>
  <si>
    <t>TR_TRA</t>
  </si>
  <si>
    <t>TR_TRM</t>
  </si>
  <si>
    <t>Fossile power plants</t>
  </si>
  <si>
    <t>Nuclear power plants</t>
  </si>
  <si>
    <t>Renewable power plant</t>
  </si>
  <si>
    <t>DMD</t>
  </si>
  <si>
    <t>DIIS</t>
  </si>
  <si>
    <t>Steel service</t>
  </si>
  <si>
    <t>TR_ES_STEEL</t>
  </si>
  <si>
    <t>Space heating</t>
  </si>
  <si>
    <t>Appliances</t>
  </si>
  <si>
    <t>Other</t>
  </si>
  <si>
    <t>DRSH,DCSH</t>
  </si>
  <si>
    <t>DRAP,DCAP</t>
  </si>
  <si>
    <t>TR_ES_OTH</t>
  </si>
  <si>
    <t>TR_ES_APP</t>
  </si>
  <si>
    <t>TR_ES_SP</t>
  </si>
  <si>
    <t>DIDM1,DROT,DCOT,DAOT</t>
  </si>
  <si>
    <t>Iron&amp;Stell</t>
  </si>
  <si>
    <t>ITIISIN,ITIISIBF,ITIISBOF,IDMIIS</t>
  </si>
  <si>
    <t>TR_STEEL</t>
  </si>
  <si>
    <t>TR_PP_FOSSIL</t>
  </si>
  <si>
    <t>TR_PP_NUCLEAR</t>
  </si>
  <si>
    <t>TR_PP_RENEW</t>
  </si>
  <si>
    <t>Mt-y</t>
  </si>
  <si>
    <t>Million ton a year</t>
  </si>
  <si>
    <t>TFM_Psets</t>
  </si>
  <si>
    <t>EXP*,IMP*,-IMP*Z</t>
  </si>
  <si>
    <t>NRG</t>
  </si>
  <si>
    <t>NRG_OIL</t>
  </si>
  <si>
    <t>NRG_COA</t>
  </si>
  <si>
    <t>Coal</t>
  </si>
  <si>
    <t>TR_TRAPUB</t>
  </si>
  <si>
    <t>Public Transport</t>
  </si>
  <si>
    <t>TCAR*</t>
  </si>
  <si>
    <t>TPUB*</t>
  </si>
  <si>
    <t>Car transport</t>
  </si>
  <si>
    <t>TR_TRACAR</t>
  </si>
  <si>
    <t>TR_ES_TR</t>
  </si>
  <si>
    <t>Transport</t>
  </si>
  <si>
    <t>DTCAR,DTPUB</t>
  </si>
  <si>
    <t>capacityunit</t>
  </si>
  <si>
    <t>PJa</t>
  </si>
  <si>
    <t>PJ annually</t>
  </si>
  <si>
    <t>GW</t>
  </si>
  <si>
    <t>-ITIISIN,-ITIISIBF,-ITIISBOF,-IDMIIS</t>
  </si>
  <si>
    <t>TR_IND,TR_AGR,TR_COM,TR_RES</t>
  </si>
  <si>
    <t>000_Units</t>
  </si>
  <si>
    <t>1000 units</t>
  </si>
  <si>
    <t>*ELC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</si>
</sst>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/>
    <xf numFmtId="164" fontId="1" fillId="0" borderId="1" xfId="1" applyNumberFormat="1" applyBorder="1"/>
    <xf numFmtId="164" fontId="0" fillId="0" borderId="0" xfId="0" quotePrefix="1" applyNumberFormat="1"/>
  </cellXfs>
  <cellStyles count="2">
    <cellStyle name="Normal" xfId="0" builtinId="0"/>
    <cellStyle name="Normal 5" xfId="1" xr:uid="{B387DD4F-F719-4379-A4FC-680701E91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9"/>
  <sheetViews>
    <sheetView workbookViewId="0">
      <selection activeCell="A3" sqref="A3"/>
    </sheetView>
  </sheetViews>
  <sheetFormatPr defaultRowHeight="14.5" x14ac:dyDescent="0.35"/>
  <cols>
    <col min="1" max="1" width="65.81640625" bestFit="1" customWidth="1"/>
    <col min="2" max="2" width="56" bestFit="1" customWidth="1"/>
    <col min="3" max="4" width="11" bestFit="1" customWidth="1"/>
    <col min="5" max="5" width="8" bestFit="1" customWidth="1"/>
    <col min="6" max="6" width="12.81640625" bestFit="1" customWidth="1"/>
    <col min="7" max="7" width="13.36328125" bestFit="1" customWidth="1"/>
    <col min="8" max="8" width="9.7265625" bestFit="1" customWidth="1"/>
  </cols>
  <sheetData>
    <row r="1" spans="1:8" x14ac:dyDescent="0.35">
      <c r="A1" t="s">
        <v>129</v>
      </c>
    </row>
    <row r="2" spans="1:8" x14ac:dyDescent="0.35">
      <c r="A2" t="s">
        <v>69</v>
      </c>
      <c r="B2" t="s">
        <v>70</v>
      </c>
      <c r="C2" t="s">
        <v>71</v>
      </c>
      <c r="D2" t="s">
        <v>6</v>
      </c>
      <c r="E2" t="s">
        <v>7</v>
      </c>
      <c r="F2" t="s">
        <v>8</v>
      </c>
      <c r="G2" t="s">
        <v>9</v>
      </c>
      <c r="H2" t="s">
        <v>10</v>
      </c>
    </row>
    <row r="3" spans="1:8" x14ac:dyDescent="0.35">
      <c r="B3" t="s">
        <v>72</v>
      </c>
      <c r="C3" t="s">
        <v>73</v>
      </c>
      <c r="D3" t="s">
        <v>74</v>
      </c>
      <c r="F3" t="s">
        <v>13</v>
      </c>
      <c r="G3" t="s">
        <v>13</v>
      </c>
    </row>
    <row r="4" spans="1:8" x14ac:dyDescent="0.35">
      <c r="B4" t="s">
        <v>21</v>
      </c>
      <c r="D4" t="s">
        <v>75</v>
      </c>
      <c r="F4" t="s">
        <v>13</v>
      </c>
      <c r="G4" t="s">
        <v>13</v>
      </c>
    </row>
    <row r="5" spans="1:8" x14ac:dyDescent="0.35">
      <c r="A5" t="s">
        <v>76</v>
      </c>
      <c r="B5" t="s">
        <v>60</v>
      </c>
      <c r="D5" t="s">
        <v>77</v>
      </c>
      <c r="F5" t="s">
        <v>13</v>
      </c>
      <c r="G5" t="s">
        <v>13</v>
      </c>
    </row>
    <row r="6" spans="1:8" x14ac:dyDescent="0.35">
      <c r="B6" t="s">
        <v>25</v>
      </c>
      <c r="D6" t="s">
        <v>78</v>
      </c>
      <c r="F6" t="s">
        <v>13</v>
      </c>
      <c r="G6" t="s">
        <v>13</v>
      </c>
    </row>
    <row r="7" spans="1:8" x14ac:dyDescent="0.35">
      <c r="B7" t="s">
        <v>79</v>
      </c>
      <c r="D7" t="s">
        <v>80</v>
      </c>
      <c r="F7" t="s">
        <v>13</v>
      </c>
      <c r="G7" t="s">
        <v>13</v>
      </c>
    </row>
    <row r="8" spans="1:8" x14ac:dyDescent="0.35">
      <c r="B8" t="s">
        <v>81</v>
      </c>
      <c r="D8" t="s">
        <v>82</v>
      </c>
      <c r="F8" t="s">
        <v>13</v>
      </c>
      <c r="G8" t="s">
        <v>13</v>
      </c>
    </row>
    <row r="9" spans="1:8" x14ac:dyDescent="0.35">
      <c r="C9" t="s">
        <v>83</v>
      </c>
      <c r="D9" t="s">
        <v>84</v>
      </c>
      <c r="F9" t="s">
        <v>13</v>
      </c>
      <c r="G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16"/>
  <sheetViews>
    <sheetView workbookViewId="0"/>
  </sheetViews>
  <sheetFormatPr defaultRowHeight="14.5" x14ac:dyDescent="0.35"/>
  <cols>
    <col min="6" max="6" width="16.7265625" bestFit="1" customWidth="1"/>
    <col min="10" max="10" width="30.81640625" bestFit="1" customWidth="1"/>
  </cols>
  <sheetData>
    <row r="1" spans="1:10" x14ac:dyDescent="0.35">
      <c r="A1" t="s">
        <v>164</v>
      </c>
    </row>
    <row r="2" spans="1:10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5">
      <c r="A3" s="1"/>
      <c r="B3" s="1" t="s">
        <v>115</v>
      </c>
      <c r="C3" s="1"/>
      <c r="D3" s="1"/>
      <c r="E3" s="1"/>
      <c r="F3" s="1" t="s">
        <v>112</v>
      </c>
      <c r="G3" s="1" t="s">
        <v>103</v>
      </c>
      <c r="H3" s="1" t="s">
        <v>13</v>
      </c>
      <c r="I3" s="1" t="s">
        <v>13</v>
      </c>
      <c r="J3" s="1" t="s">
        <v>113</v>
      </c>
    </row>
    <row r="4" spans="1:10" x14ac:dyDescent="0.35">
      <c r="A4" s="1"/>
      <c r="B4" s="1" t="s">
        <v>110</v>
      </c>
      <c r="C4" s="1"/>
      <c r="D4" s="1"/>
      <c r="E4" s="1"/>
      <c r="F4" s="1" t="s">
        <v>105</v>
      </c>
      <c r="G4" s="1" t="s">
        <v>104</v>
      </c>
      <c r="H4" s="1" t="s">
        <v>13</v>
      </c>
      <c r="I4" s="1" t="s">
        <v>13</v>
      </c>
      <c r="J4" s="1" t="s">
        <v>113</v>
      </c>
    </row>
    <row r="5" spans="1:10" x14ac:dyDescent="0.35">
      <c r="A5" s="1"/>
      <c r="B5" s="1" t="s">
        <v>53</v>
      </c>
      <c r="C5" s="1"/>
      <c r="D5" s="1"/>
      <c r="E5" s="1"/>
      <c r="F5" s="1" t="s">
        <v>85</v>
      </c>
      <c r="G5" s="1" t="s">
        <v>86</v>
      </c>
      <c r="H5" s="1" t="s">
        <v>13</v>
      </c>
      <c r="I5" s="1" t="s">
        <v>13</v>
      </c>
      <c r="J5" s="1" t="s">
        <v>113</v>
      </c>
    </row>
    <row r="6" spans="1:10" x14ac:dyDescent="0.35">
      <c r="A6" s="1"/>
      <c r="B6" s="1" t="s">
        <v>87</v>
      </c>
      <c r="C6" s="1"/>
      <c r="D6" s="1"/>
      <c r="E6" s="1"/>
      <c r="F6" s="1" t="s">
        <v>88</v>
      </c>
      <c r="G6" s="1" t="s">
        <v>89</v>
      </c>
      <c r="H6" s="1" t="s">
        <v>13</v>
      </c>
      <c r="I6" s="1" t="s">
        <v>13</v>
      </c>
      <c r="J6" s="1" t="s">
        <v>113</v>
      </c>
    </row>
    <row r="7" spans="1:10" x14ac:dyDescent="0.35">
      <c r="A7" s="1"/>
      <c r="B7" s="1" t="s">
        <v>90</v>
      </c>
      <c r="C7" s="1"/>
      <c r="D7" s="1"/>
      <c r="E7" s="1"/>
      <c r="F7" s="1" t="s">
        <v>92</v>
      </c>
      <c r="G7" s="1" t="s">
        <v>91</v>
      </c>
      <c r="H7" s="1" t="s">
        <v>13</v>
      </c>
      <c r="I7" s="1" t="s">
        <v>13</v>
      </c>
      <c r="J7" s="1" t="s">
        <v>113</v>
      </c>
    </row>
    <row r="8" spans="1:10" x14ac:dyDescent="0.35">
      <c r="A8" s="1"/>
      <c r="B8" s="1" t="s">
        <v>93</v>
      </c>
      <c r="C8" s="1"/>
      <c r="D8" s="1"/>
      <c r="E8" s="1"/>
      <c r="F8" s="1" t="s">
        <v>94</v>
      </c>
      <c r="G8" s="1" t="s">
        <v>95</v>
      </c>
      <c r="H8" s="1" t="s">
        <v>13</v>
      </c>
      <c r="I8" s="1" t="s">
        <v>13</v>
      </c>
      <c r="J8" s="1" t="s">
        <v>113</v>
      </c>
    </row>
    <row r="9" spans="1:10" x14ac:dyDescent="0.35">
      <c r="A9" s="1"/>
      <c r="B9" s="1" t="s">
        <v>96</v>
      </c>
      <c r="C9" s="1"/>
      <c r="D9" s="1"/>
      <c r="E9" s="1"/>
      <c r="F9" s="1" t="s">
        <v>97</v>
      </c>
      <c r="G9" s="1" t="s">
        <v>100</v>
      </c>
      <c r="H9" s="1" t="s">
        <v>13</v>
      </c>
      <c r="I9" s="1" t="s">
        <v>13</v>
      </c>
      <c r="J9" s="1" t="s">
        <v>113</v>
      </c>
    </row>
    <row r="10" spans="1:10" x14ac:dyDescent="0.35">
      <c r="A10" s="1"/>
      <c r="B10" s="1" t="s">
        <v>111</v>
      </c>
      <c r="C10" s="1"/>
      <c r="D10" s="1"/>
      <c r="E10" s="1"/>
      <c r="F10" s="1" t="s">
        <v>98</v>
      </c>
      <c r="G10" s="1" t="s">
        <v>99</v>
      </c>
      <c r="H10" s="1" t="s">
        <v>13</v>
      </c>
      <c r="I10" s="1" t="s">
        <v>13</v>
      </c>
      <c r="J10" s="1" t="s">
        <v>113</v>
      </c>
    </row>
    <row r="11" spans="1:10" x14ac:dyDescent="0.35">
      <c r="A11" s="1"/>
      <c r="B11" s="1" t="s">
        <v>106</v>
      </c>
      <c r="C11" s="1"/>
      <c r="D11" s="1"/>
      <c r="E11" s="1"/>
      <c r="F11" s="1" t="s">
        <v>101</v>
      </c>
      <c r="G11" s="1" t="s">
        <v>102</v>
      </c>
      <c r="H11" s="1" t="s">
        <v>13</v>
      </c>
      <c r="I11" s="1" t="s">
        <v>13</v>
      </c>
      <c r="J11" s="1" t="s">
        <v>113</v>
      </c>
    </row>
    <row r="12" spans="1:10" x14ac:dyDescent="0.35">
      <c r="A12" s="1"/>
      <c r="B12" s="1" t="s">
        <v>109</v>
      </c>
      <c r="C12" s="1"/>
      <c r="D12" s="1"/>
      <c r="E12" s="1"/>
      <c r="F12" s="1" t="s">
        <v>107</v>
      </c>
      <c r="G12" s="1" t="s">
        <v>108</v>
      </c>
      <c r="H12" s="1" t="s">
        <v>13</v>
      </c>
      <c r="I12" s="1" t="s">
        <v>13</v>
      </c>
      <c r="J12" s="1" t="s">
        <v>113</v>
      </c>
    </row>
    <row r="13" spans="1:10" x14ac:dyDescent="0.35">
      <c r="A13" s="2"/>
      <c r="B13" s="2" t="s">
        <v>11</v>
      </c>
      <c r="C13" s="2"/>
      <c r="D13" s="2"/>
      <c r="E13" s="2"/>
      <c r="F13" s="2" t="s">
        <v>12</v>
      </c>
      <c r="G13" s="2"/>
      <c r="H13" s="2" t="s">
        <v>13</v>
      </c>
      <c r="I13" s="2" t="s">
        <v>13</v>
      </c>
      <c r="J13" s="2" t="s">
        <v>114</v>
      </c>
    </row>
    <row r="14" spans="1:10" x14ac:dyDescent="0.35">
      <c r="A14" s="2" t="s">
        <v>14</v>
      </c>
      <c r="B14" s="2"/>
      <c r="C14" s="2"/>
      <c r="D14" s="2" t="s">
        <v>15</v>
      </c>
      <c r="E14" s="2"/>
      <c r="F14" s="2" t="s">
        <v>16</v>
      </c>
      <c r="G14" s="2"/>
      <c r="H14" s="2" t="s">
        <v>13</v>
      </c>
      <c r="I14" s="2" t="s">
        <v>13</v>
      </c>
      <c r="J14" s="2" t="s">
        <v>114</v>
      </c>
    </row>
    <row r="15" spans="1:10" x14ac:dyDescent="0.35">
      <c r="A15" s="2" t="s">
        <v>14</v>
      </c>
      <c r="B15" s="2"/>
      <c r="C15" s="2"/>
      <c r="D15" s="2" t="s">
        <v>17</v>
      </c>
      <c r="E15" s="2"/>
      <c r="F15" s="2" t="s">
        <v>18</v>
      </c>
      <c r="G15" s="2"/>
      <c r="H15" s="2" t="s">
        <v>13</v>
      </c>
      <c r="I15" s="2" t="s">
        <v>13</v>
      </c>
      <c r="J15" s="2" t="s">
        <v>114</v>
      </c>
    </row>
    <row r="16" spans="1:10" x14ac:dyDescent="0.35">
      <c r="A16" s="2" t="s">
        <v>14</v>
      </c>
      <c r="B16" s="2"/>
      <c r="C16" s="2"/>
      <c r="D16" s="2" t="s">
        <v>19</v>
      </c>
      <c r="E16" s="2"/>
      <c r="F16" s="2" t="s">
        <v>20</v>
      </c>
      <c r="G16" s="2"/>
      <c r="H16" s="2" t="s">
        <v>13</v>
      </c>
      <c r="I16" s="2" t="s">
        <v>13</v>
      </c>
      <c r="J16" s="2" t="s">
        <v>114</v>
      </c>
    </row>
    <row r="17" spans="1:10" x14ac:dyDescent="0.35">
      <c r="A17" s="2" t="s">
        <v>14</v>
      </c>
      <c r="B17" s="2"/>
      <c r="C17" s="2"/>
      <c r="D17" s="2" t="s">
        <v>21</v>
      </c>
      <c r="E17" s="2"/>
      <c r="F17" s="2" t="s">
        <v>22</v>
      </c>
      <c r="G17" s="2"/>
      <c r="H17" s="2" t="s">
        <v>13</v>
      </c>
      <c r="I17" s="2" t="s">
        <v>13</v>
      </c>
      <c r="J17" s="2" t="s">
        <v>114</v>
      </c>
    </row>
    <row r="18" spans="1:10" x14ac:dyDescent="0.35">
      <c r="A18" s="2" t="s">
        <v>14</v>
      </c>
      <c r="B18" s="2"/>
      <c r="C18" s="2"/>
      <c r="D18" s="2" t="s">
        <v>23</v>
      </c>
      <c r="E18" s="2"/>
      <c r="F18" s="2" t="s">
        <v>24</v>
      </c>
      <c r="G18" s="2"/>
      <c r="H18" s="2" t="s">
        <v>13</v>
      </c>
      <c r="I18" s="2" t="s">
        <v>13</v>
      </c>
      <c r="J18" s="2" t="s">
        <v>114</v>
      </c>
    </row>
    <row r="19" spans="1:10" x14ac:dyDescent="0.35">
      <c r="A19" s="2" t="s">
        <v>14</v>
      </c>
      <c r="B19" s="2"/>
      <c r="C19" s="2"/>
      <c r="D19" s="2" t="s">
        <v>25</v>
      </c>
      <c r="E19" s="2"/>
      <c r="F19" s="2" t="s">
        <v>26</v>
      </c>
      <c r="G19" s="2"/>
      <c r="H19" s="2" t="s">
        <v>13</v>
      </c>
      <c r="I19" s="2" t="s">
        <v>13</v>
      </c>
      <c r="J19" s="2" t="s">
        <v>114</v>
      </c>
    </row>
    <row r="20" spans="1:10" x14ac:dyDescent="0.35">
      <c r="A20" s="2" t="s">
        <v>14</v>
      </c>
      <c r="B20" s="2"/>
      <c r="C20" s="2"/>
      <c r="D20" s="2" t="s">
        <v>27</v>
      </c>
      <c r="E20" s="2"/>
      <c r="F20" s="2" t="s">
        <v>28</v>
      </c>
      <c r="G20" s="2"/>
      <c r="H20" s="2" t="s">
        <v>13</v>
      </c>
      <c r="I20" s="2" t="s">
        <v>13</v>
      </c>
      <c r="J20" s="2" t="s">
        <v>114</v>
      </c>
    </row>
    <row r="21" spans="1:10" x14ac:dyDescent="0.35">
      <c r="A21" s="2" t="s">
        <v>14</v>
      </c>
      <c r="B21" s="2"/>
      <c r="C21" s="2"/>
      <c r="D21" s="2" t="s">
        <v>29</v>
      </c>
      <c r="E21" s="2"/>
      <c r="F21" s="2" t="s">
        <v>30</v>
      </c>
      <c r="G21" s="2"/>
      <c r="H21" s="2" t="s">
        <v>13</v>
      </c>
      <c r="I21" s="2" t="s">
        <v>13</v>
      </c>
      <c r="J21" s="2" t="s">
        <v>114</v>
      </c>
    </row>
    <row r="22" spans="1:10" x14ac:dyDescent="0.35">
      <c r="A22" s="2" t="s">
        <v>14</v>
      </c>
      <c r="B22" s="2"/>
      <c r="C22" s="2"/>
      <c r="D22" s="2" t="s">
        <v>31</v>
      </c>
      <c r="E22" s="2"/>
      <c r="F22" s="2" t="s">
        <v>32</v>
      </c>
      <c r="G22" s="2"/>
      <c r="H22" s="2" t="s">
        <v>13</v>
      </c>
      <c r="I22" s="2" t="s">
        <v>13</v>
      </c>
      <c r="J22" s="2" t="s">
        <v>114</v>
      </c>
    </row>
    <row r="23" spans="1:10" x14ac:dyDescent="0.35">
      <c r="A23" s="2" t="s">
        <v>14</v>
      </c>
      <c r="B23" s="2"/>
      <c r="C23" s="2"/>
      <c r="D23" s="2" t="s">
        <v>33</v>
      </c>
      <c r="E23" s="2"/>
      <c r="F23" s="2" t="s">
        <v>34</v>
      </c>
      <c r="G23" s="2"/>
      <c r="H23" s="2" t="s">
        <v>13</v>
      </c>
      <c r="I23" s="2" t="s">
        <v>13</v>
      </c>
      <c r="J23" s="2" t="s">
        <v>114</v>
      </c>
    </row>
    <row r="24" spans="1:10" x14ac:dyDescent="0.35">
      <c r="A24" s="2"/>
      <c r="B24" s="2" t="s">
        <v>35</v>
      </c>
      <c r="C24" s="2"/>
      <c r="D24" s="2"/>
      <c r="E24" s="2"/>
      <c r="F24" s="2" t="s">
        <v>36</v>
      </c>
      <c r="G24" s="2"/>
      <c r="H24" s="2" t="s">
        <v>13</v>
      </c>
      <c r="I24" s="2" t="s">
        <v>13</v>
      </c>
      <c r="J24" s="2" t="s">
        <v>114</v>
      </c>
    </row>
    <row r="25" spans="1:10" x14ac:dyDescent="0.35">
      <c r="A25" s="2" t="s">
        <v>37</v>
      </c>
      <c r="B25" s="2"/>
      <c r="C25" s="2"/>
      <c r="D25" s="2"/>
      <c r="E25" s="2" t="s">
        <v>38</v>
      </c>
      <c r="F25" s="2" t="s">
        <v>39</v>
      </c>
      <c r="G25" s="2"/>
      <c r="H25" s="2" t="s">
        <v>13</v>
      </c>
      <c r="I25" s="2" t="s">
        <v>13</v>
      </c>
      <c r="J25" s="2" t="s">
        <v>114</v>
      </c>
    </row>
    <row r="26" spans="1:10" x14ac:dyDescent="0.35">
      <c r="A26" s="2" t="s">
        <v>37</v>
      </c>
      <c r="B26" s="2"/>
      <c r="C26" s="2"/>
      <c r="D26" s="2"/>
      <c r="E26" s="2" t="s">
        <v>40</v>
      </c>
      <c r="F26" s="2" t="s">
        <v>41</v>
      </c>
      <c r="G26" s="2"/>
      <c r="H26" s="2" t="s">
        <v>13</v>
      </c>
      <c r="I26" s="2" t="s">
        <v>13</v>
      </c>
      <c r="J26" s="2" t="s">
        <v>114</v>
      </c>
    </row>
    <row r="27" spans="1:10" x14ac:dyDescent="0.35">
      <c r="A27" s="2" t="s">
        <v>37</v>
      </c>
      <c r="B27" s="2"/>
      <c r="C27" s="2"/>
      <c r="D27" s="2"/>
      <c r="E27" s="2" t="s">
        <v>42</v>
      </c>
      <c r="F27" s="2" t="s">
        <v>43</v>
      </c>
      <c r="G27" s="2"/>
      <c r="H27" s="2" t="s">
        <v>13</v>
      </c>
      <c r="I27" s="2" t="s">
        <v>13</v>
      </c>
      <c r="J27" s="2" t="s">
        <v>114</v>
      </c>
    </row>
    <row r="28" spans="1:10" x14ac:dyDescent="0.35">
      <c r="A28" s="2" t="s">
        <v>37</v>
      </c>
      <c r="B28" s="2"/>
      <c r="C28" s="2"/>
      <c r="D28" s="2"/>
      <c r="E28" s="2" t="s">
        <v>44</v>
      </c>
      <c r="F28" s="2" t="s">
        <v>45</v>
      </c>
      <c r="G28" s="2"/>
      <c r="H28" s="2" t="s">
        <v>13</v>
      </c>
      <c r="I28" s="2" t="s">
        <v>13</v>
      </c>
      <c r="J28" s="2" t="s">
        <v>114</v>
      </c>
    </row>
    <row r="29" spans="1:10" x14ac:dyDescent="0.35">
      <c r="A29" s="2" t="s">
        <v>37</v>
      </c>
      <c r="B29" s="2"/>
      <c r="C29" s="2"/>
      <c r="D29" s="2"/>
      <c r="E29" s="2" t="s">
        <v>46</v>
      </c>
      <c r="F29" s="2" t="s">
        <v>47</v>
      </c>
      <c r="G29" s="2"/>
      <c r="H29" s="2" t="s">
        <v>13</v>
      </c>
      <c r="I29" s="2" t="s">
        <v>13</v>
      </c>
      <c r="J29" s="2" t="s">
        <v>114</v>
      </c>
    </row>
    <row r="30" spans="1:10" x14ac:dyDescent="0.35">
      <c r="A30" s="2"/>
      <c r="B30" s="2" t="s">
        <v>48</v>
      </c>
      <c r="C30" s="2"/>
      <c r="D30" s="2"/>
      <c r="E30" s="2"/>
      <c r="F30" s="2" t="s">
        <v>49</v>
      </c>
      <c r="G30" s="2"/>
      <c r="H30" s="2" t="s">
        <v>13</v>
      </c>
      <c r="I30" s="2" t="s">
        <v>13</v>
      </c>
      <c r="J30" s="2" t="s">
        <v>114</v>
      </c>
    </row>
    <row r="31" spans="1:10" x14ac:dyDescent="0.35">
      <c r="A31" s="2"/>
      <c r="B31" s="2" t="s">
        <v>50</v>
      </c>
      <c r="C31" s="2"/>
      <c r="D31" s="2"/>
      <c r="E31" s="2"/>
      <c r="F31" s="2" t="s">
        <v>51</v>
      </c>
      <c r="G31" s="2"/>
      <c r="H31" s="2" t="s">
        <v>13</v>
      </c>
      <c r="I31" s="2" t="s">
        <v>13</v>
      </c>
      <c r="J31" s="2" t="s">
        <v>114</v>
      </c>
    </row>
    <row r="32" spans="1:10" x14ac:dyDescent="0.35">
      <c r="A32" s="2" t="s">
        <v>52</v>
      </c>
      <c r="B32" s="2" t="s">
        <v>53</v>
      </c>
      <c r="C32" s="2"/>
      <c r="D32" s="2"/>
      <c r="E32" s="2"/>
      <c r="F32" s="2" t="s">
        <v>54</v>
      </c>
      <c r="G32" s="2"/>
      <c r="H32" s="2" t="s">
        <v>13</v>
      </c>
      <c r="I32" s="2" t="s">
        <v>13</v>
      </c>
      <c r="J32" s="2" t="s">
        <v>114</v>
      </c>
    </row>
    <row r="33" spans="1:10" x14ac:dyDescent="0.35">
      <c r="A33" s="2" t="s">
        <v>14</v>
      </c>
      <c r="B33" s="2"/>
      <c r="C33" s="2"/>
      <c r="D33" s="2" t="s">
        <v>55</v>
      </c>
      <c r="E33" s="2"/>
      <c r="F33" s="2" t="s">
        <v>56</v>
      </c>
      <c r="G33" s="2"/>
      <c r="H33" s="2" t="s">
        <v>13</v>
      </c>
      <c r="I33" s="2" t="s">
        <v>13</v>
      </c>
      <c r="J33" s="2" t="s">
        <v>114</v>
      </c>
    </row>
    <row r="34" spans="1:10" x14ac:dyDescent="0.35">
      <c r="A34" s="2" t="s">
        <v>14</v>
      </c>
      <c r="B34" s="2"/>
      <c r="C34" s="2"/>
      <c r="D34" s="2" t="s">
        <v>57</v>
      </c>
      <c r="E34" s="2"/>
      <c r="F34" s="2" t="s">
        <v>58</v>
      </c>
      <c r="G34" s="2"/>
      <c r="H34" s="2" t="s">
        <v>13</v>
      </c>
      <c r="I34" s="2" t="s">
        <v>13</v>
      </c>
      <c r="J34" s="2" t="s">
        <v>114</v>
      </c>
    </row>
    <row r="35" spans="1:10" x14ac:dyDescent="0.35">
      <c r="A35" s="2" t="s">
        <v>59</v>
      </c>
      <c r="B35" s="2" t="s">
        <v>60</v>
      </c>
      <c r="C35" s="2"/>
      <c r="D35" s="2"/>
      <c r="E35" s="2"/>
      <c r="F35" s="2" t="s">
        <v>61</v>
      </c>
      <c r="G35" s="2"/>
      <c r="H35" s="2" t="s">
        <v>13</v>
      </c>
      <c r="I35" s="2" t="s">
        <v>13</v>
      </c>
      <c r="J35" s="2" t="s">
        <v>114</v>
      </c>
    </row>
    <row r="36" spans="1:10" x14ac:dyDescent="0.35">
      <c r="A36" s="2" t="s">
        <v>14</v>
      </c>
      <c r="B36" s="2"/>
      <c r="C36" s="2"/>
      <c r="D36" s="2" t="s">
        <v>62</v>
      </c>
      <c r="E36" s="2"/>
      <c r="F36" s="2" t="s">
        <v>63</v>
      </c>
      <c r="G36" s="2"/>
      <c r="H36" s="2" t="s">
        <v>13</v>
      </c>
      <c r="I36" s="2" t="s">
        <v>13</v>
      </c>
      <c r="J36" s="2" t="s">
        <v>114</v>
      </c>
    </row>
    <row r="37" spans="1:10" x14ac:dyDescent="0.35">
      <c r="A37" s="2" t="s">
        <v>14</v>
      </c>
      <c r="B37" s="2" t="s">
        <v>64</v>
      </c>
      <c r="C37" s="2"/>
      <c r="D37" s="2"/>
      <c r="E37" s="2"/>
      <c r="F37" s="2" t="s">
        <v>65</v>
      </c>
      <c r="G37" s="2"/>
      <c r="H37" s="2" t="s">
        <v>13</v>
      </c>
      <c r="I37" s="2" t="s">
        <v>13</v>
      </c>
      <c r="J37" s="2" t="s">
        <v>114</v>
      </c>
    </row>
    <row r="38" spans="1:10" x14ac:dyDescent="0.35">
      <c r="A38" s="2" t="s">
        <v>52</v>
      </c>
      <c r="B38" s="2" t="s">
        <v>66</v>
      </c>
      <c r="C38" s="2"/>
      <c r="D38" s="2"/>
      <c r="E38" s="2"/>
      <c r="F38" s="2" t="s">
        <v>67</v>
      </c>
      <c r="G38" s="2"/>
      <c r="H38" s="2" t="s">
        <v>13</v>
      </c>
      <c r="I38" s="2" t="s">
        <v>13</v>
      </c>
      <c r="J38" s="2" t="s">
        <v>114</v>
      </c>
    </row>
    <row r="39" spans="1:10" x14ac:dyDescent="0.35">
      <c r="A39" s="2"/>
      <c r="B39" s="2" t="s">
        <v>11</v>
      </c>
      <c r="C39" s="2"/>
      <c r="D39" s="2"/>
      <c r="E39" s="2"/>
      <c r="F39" s="2" t="s">
        <v>12</v>
      </c>
      <c r="G39" s="2"/>
      <c r="H39" s="2" t="s">
        <v>13</v>
      </c>
      <c r="I39" s="2" t="s">
        <v>13</v>
      </c>
      <c r="J39" s="2" t="s">
        <v>114</v>
      </c>
    </row>
    <row r="40" spans="1:10" x14ac:dyDescent="0.35">
      <c r="A40" s="2" t="s">
        <v>14</v>
      </c>
      <c r="B40" s="2"/>
      <c r="C40" s="2"/>
      <c r="D40" s="2" t="s">
        <v>15</v>
      </c>
      <c r="E40" s="2"/>
      <c r="F40" s="2" t="s">
        <v>16</v>
      </c>
      <c r="G40" s="2"/>
      <c r="H40" s="2" t="s">
        <v>13</v>
      </c>
      <c r="I40" s="2" t="s">
        <v>13</v>
      </c>
      <c r="J40" s="2" t="s">
        <v>114</v>
      </c>
    </row>
    <row r="41" spans="1:10" x14ac:dyDescent="0.35">
      <c r="A41" s="2" t="s">
        <v>14</v>
      </c>
      <c r="B41" s="2"/>
      <c r="C41" s="2"/>
      <c r="D41" s="2" t="s">
        <v>17</v>
      </c>
      <c r="E41" s="2"/>
      <c r="F41" s="2" t="s">
        <v>18</v>
      </c>
      <c r="G41" s="2"/>
      <c r="H41" s="2" t="s">
        <v>13</v>
      </c>
      <c r="I41" s="2" t="s">
        <v>13</v>
      </c>
      <c r="J41" s="2" t="s">
        <v>114</v>
      </c>
    </row>
    <row r="42" spans="1:10" x14ac:dyDescent="0.35">
      <c r="A42" s="2" t="s">
        <v>14</v>
      </c>
      <c r="B42" s="2"/>
      <c r="C42" s="2"/>
      <c r="D42" s="2" t="s">
        <v>19</v>
      </c>
      <c r="E42" s="2"/>
      <c r="F42" s="2" t="s">
        <v>20</v>
      </c>
      <c r="G42" s="2"/>
      <c r="H42" s="2" t="s">
        <v>13</v>
      </c>
      <c r="I42" s="2" t="s">
        <v>13</v>
      </c>
      <c r="J42" s="2" t="s">
        <v>114</v>
      </c>
    </row>
    <row r="43" spans="1:10" x14ac:dyDescent="0.35">
      <c r="A43" s="2" t="s">
        <v>14</v>
      </c>
      <c r="B43" s="2"/>
      <c r="C43" s="2"/>
      <c r="D43" s="2" t="s">
        <v>21</v>
      </c>
      <c r="E43" s="2"/>
      <c r="F43" s="2" t="s">
        <v>22</v>
      </c>
      <c r="G43" s="2"/>
      <c r="H43" s="2" t="s">
        <v>13</v>
      </c>
      <c r="I43" s="2" t="s">
        <v>13</v>
      </c>
      <c r="J43" s="2" t="s">
        <v>114</v>
      </c>
    </row>
    <row r="44" spans="1:10" x14ac:dyDescent="0.35">
      <c r="A44" s="2" t="s">
        <v>14</v>
      </c>
      <c r="B44" s="2"/>
      <c r="C44" s="2"/>
      <c r="D44" s="2" t="s">
        <v>23</v>
      </c>
      <c r="E44" s="2"/>
      <c r="F44" s="2" t="s">
        <v>24</v>
      </c>
      <c r="G44" s="2"/>
      <c r="H44" s="2" t="s">
        <v>13</v>
      </c>
      <c r="I44" s="2" t="s">
        <v>13</v>
      </c>
      <c r="J44" s="2" t="s">
        <v>114</v>
      </c>
    </row>
    <row r="45" spans="1:10" x14ac:dyDescent="0.35">
      <c r="A45" s="2" t="s">
        <v>14</v>
      </c>
      <c r="B45" s="2"/>
      <c r="C45" s="2"/>
      <c r="D45" s="2" t="s">
        <v>25</v>
      </c>
      <c r="E45" s="2"/>
      <c r="F45" s="2" t="s">
        <v>26</v>
      </c>
      <c r="G45" s="2"/>
      <c r="H45" s="2" t="s">
        <v>13</v>
      </c>
      <c r="I45" s="2" t="s">
        <v>13</v>
      </c>
      <c r="J45" s="2" t="s">
        <v>114</v>
      </c>
    </row>
    <row r="46" spans="1:10" x14ac:dyDescent="0.35">
      <c r="A46" s="2" t="s">
        <v>14</v>
      </c>
      <c r="B46" s="2"/>
      <c r="C46" s="2"/>
      <c r="D46" s="2" t="s">
        <v>27</v>
      </c>
      <c r="E46" s="2"/>
      <c r="F46" s="2" t="s">
        <v>28</v>
      </c>
      <c r="G46" s="2"/>
      <c r="H46" s="2" t="s">
        <v>13</v>
      </c>
      <c r="I46" s="2" t="s">
        <v>13</v>
      </c>
      <c r="J46" s="2" t="s">
        <v>114</v>
      </c>
    </row>
    <row r="47" spans="1:10" x14ac:dyDescent="0.35">
      <c r="A47" s="2" t="s">
        <v>14</v>
      </c>
      <c r="B47" s="2"/>
      <c r="C47" s="2"/>
      <c r="D47" s="2" t="s">
        <v>29</v>
      </c>
      <c r="E47" s="2"/>
      <c r="F47" s="2" t="s">
        <v>30</v>
      </c>
      <c r="G47" s="2"/>
      <c r="H47" s="2" t="s">
        <v>13</v>
      </c>
      <c r="I47" s="2" t="s">
        <v>13</v>
      </c>
      <c r="J47" s="2" t="s">
        <v>114</v>
      </c>
    </row>
    <row r="48" spans="1:10" x14ac:dyDescent="0.35">
      <c r="A48" s="2" t="s">
        <v>14</v>
      </c>
      <c r="B48" s="2"/>
      <c r="C48" s="2"/>
      <c r="D48" s="2" t="s">
        <v>31</v>
      </c>
      <c r="E48" s="2"/>
      <c r="F48" s="2" t="s">
        <v>32</v>
      </c>
      <c r="G48" s="2"/>
      <c r="H48" s="2" t="s">
        <v>13</v>
      </c>
      <c r="I48" s="2" t="s">
        <v>13</v>
      </c>
      <c r="J48" s="2" t="s">
        <v>114</v>
      </c>
    </row>
    <row r="49" spans="1:10" x14ac:dyDescent="0.35">
      <c r="A49" s="2" t="s">
        <v>14</v>
      </c>
      <c r="B49" s="2"/>
      <c r="C49" s="2"/>
      <c r="D49" s="2" t="s">
        <v>33</v>
      </c>
      <c r="E49" s="2"/>
      <c r="F49" s="2" t="s">
        <v>34</v>
      </c>
      <c r="G49" s="2"/>
      <c r="H49" s="2" t="s">
        <v>13</v>
      </c>
      <c r="I49" s="2" t="s">
        <v>13</v>
      </c>
      <c r="J49" s="2" t="s">
        <v>114</v>
      </c>
    </row>
    <row r="50" spans="1:10" x14ac:dyDescent="0.35">
      <c r="A50" s="2"/>
      <c r="B50" s="2" t="s">
        <v>35</v>
      </c>
      <c r="C50" s="2"/>
      <c r="D50" s="2"/>
      <c r="E50" s="2"/>
      <c r="F50" s="2" t="s">
        <v>36</v>
      </c>
      <c r="G50" s="2"/>
      <c r="H50" s="2" t="s">
        <v>13</v>
      </c>
      <c r="I50" s="2" t="s">
        <v>13</v>
      </c>
      <c r="J50" s="2" t="s">
        <v>114</v>
      </c>
    </row>
    <row r="51" spans="1:10" x14ac:dyDescent="0.35">
      <c r="A51" s="2" t="s">
        <v>37</v>
      </c>
      <c r="B51" s="2"/>
      <c r="C51" s="2"/>
      <c r="D51" s="2"/>
      <c r="E51" s="2" t="s">
        <v>38</v>
      </c>
      <c r="F51" s="2" t="s">
        <v>39</v>
      </c>
      <c r="G51" s="2"/>
      <c r="H51" s="2" t="s">
        <v>13</v>
      </c>
      <c r="I51" s="2" t="s">
        <v>13</v>
      </c>
      <c r="J51" s="2" t="s">
        <v>114</v>
      </c>
    </row>
    <row r="52" spans="1:10" x14ac:dyDescent="0.35">
      <c r="A52" s="2" t="s">
        <v>37</v>
      </c>
      <c r="B52" s="2"/>
      <c r="C52" s="2"/>
      <c r="D52" s="2"/>
      <c r="E52" s="2" t="s">
        <v>40</v>
      </c>
      <c r="F52" s="2" t="s">
        <v>41</v>
      </c>
      <c r="G52" s="2"/>
      <c r="H52" s="2" t="s">
        <v>13</v>
      </c>
      <c r="I52" s="2" t="s">
        <v>13</v>
      </c>
      <c r="J52" s="2" t="s">
        <v>114</v>
      </c>
    </row>
    <row r="53" spans="1:10" x14ac:dyDescent="0.35">
      <c r="A53" s="2" t="s">
        <v>37</v>
      </c>
      <c r="B53" s="2"/>
      <c r="C53" s="2"/>
      <c r="D53" s="2"/>
      <c r="E53" s="2" t="s">
        <v>42</v>
      </c>
      <c r="F53" s="2" t="s">
        <v>43</v>
      </c>
      <c r="G53" s="2"/>
      <c r="H53" s="2" t="s">
        <v>13</v>
      </c>
      <c r="I53" s="2" t="s">
        <v>13</v>
      </c>
      <c r="J53" s="2" t="s">
        <v>114</v>
      </c>
    </row>
    <row r="54" spans="1:10" x14ac:dyDescent="0.35">
      <c r="A54" s="2" t="s">
        <v>37</v>
      </c>
      <c r="B54" s="2"/>
      <c r="C54" s="2"/>
      <c r="D54" s="2"/>
      <c r="E54" s="2" t="s">
        <v>44</v>
      </c>
      <c r="F54" s="2" t="s">
        <v>45</v>
      </c>
      <c r="G54" s="2"/>
      <c r="H54" s="2" t="s">
        <v>13</v>
      </c>
      <c r="I54" s="2" t="s">
        <v>13</v>
      </c>
      <c r="J54" s="2" t="s">
        <v>114</v>
      </c>
    </row>
    <row r="55" spans="1:10" x14ac:dyDescent="0.35">
      <c r="A55" s="2" t="s">
        <v>37</v>
      </c>
      <c r="B55" s="2"/>
      <c r="C55" s="2"/>
      <c r="D55" s="2"/>
      <c r="E55" s="2" t="s">
        <v>46</v>
      </c>
      <c r="F55" s="2" t="s">
        <v>47</v>
      </c>
      <c r="G55" s="2"/>
      <c r="H55" s="2" t="s">
        <v>13</v>
      </c>
      <c r="I55" s="2" t="s">
        <v>13</v>
      </c>
      <c r="J55" s="2" t="s">
        <v>114</v>
      </c>
    </row>
    <row r="56" spans="1:10" x14ac:dyDescent="0.35">
      <c r="A56" s="2"/>
      <c r="B56" s="2" t="s">
        <v>48</v>
      </c>
      <c r="C56" s="2"/>
      <c r="D56" s="2"/>
      <c r="E56" s="2"/>
      <c r="F56" s="2" t="s">
        <v>49</v>
      </c>
      <c r="G56" s="2"/>
      <c r="H56" s="2" t="s">
        <v>13</v>
      </c>
      <c r="I56" s="2" t="s">
        <v>13</v>
      </c>
      <c r="J56" s="2" t="s">
        <v>114</v>
      </c>
    </row>
    <row r="57" spans="1:10" x14ac:dyDescent="0.35">
      <c r="A57" s="2"/>
      <c r="B57" s="2" t="s">
        <v>50</v>
      </c>
      <c r="C57" s="2"/>
      <c r="D57" s="2"/>
      <c r="E57" s="2"/>
      <c r="F57" s="2" t="s">
        <v>51</v>
      </c>
      <c r="G57" s="2"/>
      <c r="H57" s="2" t="s">
        <v>13</v>
      </c>
      <c r="I57" s="2" t="s">
        <v>13</v>
      </c>
      <c r="J57" s="2" t="s">
        <v>114</v>
      </c>
    </row>
    <row r="58" spans="1:10" x14ac:dyDescent="0.35">
      <c r="A58" s="2" t="s">
        <v>52</v>
      </c>
      <c r="B58" s="2" t="s">
        <v>53</v>
      </c>
      <c r="C58" s="2"/>
      <c r="D58" s="2"/>
      <c r="E58" s="2"/>
      <c r="F58" s="2" t="s">
        <v>54</v>
      </c>
      <c r="G58" s="2"/>
      <c r="H58" s="2" t="s">
        <v>13</v>
      </c>
      <c r="I58" s="2" t="s">
        <v>13</v>
      </c>
      <c r="J58" s="2" t="s">
        <v>114</v>
      </c>
    </row>
    <row r="59" spans="1:10" x14ac:dyDescent="0.35">
      <c r="A59" s="2" t="s">
        <v>14</v>
      </c>
      <c r="B59" s="2"/>
      <c r="C59" s="2"/>
      <c r="D59" s="2" t="s">
        <v>55</v>
      </c>
      <c r="E59" s="2"/>
      <c r="F59" s="2" t="s">
        <v>56</v>
      </c>
      <c r="G59" s="2"/>
      <c r="H59" s="2" t="s">
        <v>13</v>
      </c>
      <c r="I59" s="2" t="s">
        <v>13</v>
      </c>
      <c r="J59" s="2" t="s">
        <v>114</v>
      </c>
    </row>
    <row r="60" spans="1:10" x14ac:dyDescent="0.35">
      <c r="A60" s="2" t="s">
        <v>14</v>
      </c>
      <c r="B60" s="2"/>
      <c r="C60" s="2"/>
      <c r="D60" s="2" t="s">
        <v>57</v>
      </c>
      <c r="E60" s="2"/>
      <c r="F60" s="2" t="s">
        <v>58</v>
      </c>
      <c r="G60" s="2"/>
      <c r="H60" s="2" t="s">
        <v>13</v>
      </c>
      <c r="I60" s="2" t="s">
        <v>13</v>
      </c>
      <c r="J60" s="2" t="s">
        <v>114</v>
      </c>
    </row>
    <row r="61" spans="1:10" x14ac:dyDescent="0.35">
      <c r="A61" s="2" t="s">
        <v>59</v>
      </c>
      <c r="B61" s="2" t="s">
        <v>60</v>
      </c>
      <c r="C61" s="2"/>
      <c r="D61" s="2"/>
      <c r="E61" s="2"/>
      <c r="F61" s="2" t="s">
        <v>61</v>
      </c>
      <c r="G61" s="2"/>
      <c r="H61" s="2" t="s">
        <v>13</v>
      </c>
      <c r="I61" s="2" t="s">
        <v>13</v>
      </c>
      <c r="J61" s="2" t="s">
        <v>114</v>
      </c>
    </row>
    <row r="62" spans="1:10" x14ac:dyDescent="0.35">
      <c r="A62" s="2" t="s">
        <v>14</v>
      </c>
      <c r="B62" s="2"/>
      <c r="C62" s="2"/>
      <c r="D62" s="2" t="s">
        <v>62</v>
      </c>
      <c r="E62" s="2"/>
      <c r="F62" s="2" t="s">
        <v>63</v>
      </c>
      <c r="G62" s="2"/>
      <c r="H62" s="2" t="s">
        <v>13</v>
      </c>
      <c r="I62" s="2" t="s">
        <v>13</v>
      </c>
      <c r="J62" s="2" t="s">
        <v>114</v>
      </c>
    </row>
    <row r="63" spans="1:10" x14ac:dyDescent="0.35">
      <c r="A63" s="2" t="s">
        <v>14</v>
      </c>
      <c r="B63" s="2" t="s">
        <v>64</v>
      </c>
      <c r="C63" s="2"/>
      <c r="D63" s="2"/>
      <c r="E63" s="2"/>
      <c r="F63" s="2" t="s">
        <v>65</v>
      </c>
      <c r="G63" s="2"/>
      <c r="H63" s="2" t="s">
        <v>13</v>
      </c>
      <c r="I63" s="2" t="s">
        <v>13</v>
      </c>
      <c r="J63" s="2" t="s">
        <v>114</v>
      </c>
    </row>
    <row r="64" spans="1:10" x14ac:dyDescent="0.35">
      <c r="A64" s="2" t="s">
        <v>52</v>
      </c>
      <c r="B64" s="2" t="s">
        <v>66</v>
      </c>
      <c r="C64" s="2"/>
      <c r="D64" s="2"/>
      <c r="E64" s="2"/>
      <c r="F64" s="2" t="s">
        <v>67</v>
      </c>
      <c r="G64" s="2"/>
      <c r="H64" s="2" t="s">
        <v>13</v>
      </c>
      <c r="I64" s="2" t="s">
        <v>13</v>
      </c>
      <c r="J64" s="2" t="s">
        <v>114</v>
      </c>
    </row>
    <row r="65" spans="1:10" x14ac:dyDescent="0.35">
      <c r="A65" s="2"/>
      <c r="B65" s="2" t="s">
        <v>11</v>
      </c>
      <c r="C65" s="2"/>
      <c r="D65" s="2"/>
      <c r="E65" s="2"/>
      <c r="F65" s="2" t="s">
        <v>12</v>
      </c>
      <c r="G65" s="2"/>
      <c r="H65" s="2" t="s">
        <v>13</v>
      </c>
      <c r="I65" s="2" t="s">
        <v>13</v>
      </c>
      <c r="J65" s="2" t="s">
        <v>114</v>
      </c>
    </row>
    <row r="66" spans="1:10" x14ac:dyDescent="0.35">
      <c r="A66" s="2" t="s">
        <v>14</v>
      </c>
      <c r="B66" s="2"/>
      <c r="C66" s="2"/>
      <c r="D66" s="2" t="s">
        <v>15</v>
      </c>
      <c r="E66" s="2"/>
      <c r="F66" s="2" t="s">
        <v>16</v>
      </c>
      <c r="G66" s="2"/>
      <c r="H66" s="2" t="s">
        <v>13</v>
      </c>
      <c r="I66" s="2" t="s">
        <v>13</v>
      </c>
      <c r="J66" s="2" t="s">
        <v>114</v>
      </c>
    </row>
    <row r="67" spans="1:10" x14ac:dyDescent="0.35">
      <c r="A67" s="2" t="s">
        <v>14</v>
      </c>
      <c r="B67" s="2"/>
      <c r="C67" s="2"/>
      <c r="D67" s="2" t="s">
        <v>17</v>
      </c>
      <c r="E67" s="2"/>
      <c r="F67" s="2" t="s">
        <v>18</v>
      </c>
      <c r="G67" s="2"/>
      <c r="H67" s="2" t="s">
        <v>13</v>
      </c>
      <c r="I67" s="2" t="s">
        <v>13</v>
      </c>
      <c r="J67" s="2" t="s">
        <v>114</v>
      </c>
    </row>
    <row r="68" spans="1:10" x14ac:dyDescent="0.35">
      <c r="A68" s="2" t="s">
        <v>14</v>
      </c>
      <c r="B68" s="2"/>
      <c r="C68" s="2"/>
      <c r="D68" s="2" t="s">
        <v>19</v>
      </c>
      <c r="E68" s="2"/>
      <c r="F68" s="2" t="s">
        <v>20</v>
      </c>
      <c r="G68" s="2"/>
      <c r="H68" s="2" t="s">
        <v>13</v>
      </c>
      <c r="I68" s="2" t="s">
        <v>13</v>
      </c>
      <c r="J68" s="2" t="s">
        <v>114</v>
      </c>
    </row>
    <row r="69" spans="1:10" x14ac:dyDescent="0.35">
      <c r="A69" s="2" t="s">
        <v>14</v>
      </c>
      <c r="B69" s="2"/>
      <c r="C69" s="2"/>
      <c r="D69" s="2" t="s">
        <v>21</v>
      </c>
      <c r="E69" s="2"/>
      <c r="F69" s="2" t="s">
        <v>22</v>
      </c>
      <c r="G69" s="2"/>
      <c r="H69" s="2" t="s">
        <v>13</v>
      </c>
      <c r="I69" s="2" t="s">
        <v>13</v>
      </c>
      <c r="J69" s="2" t="s">
        <v>114</v>
      </c>
    </row>
    <row r="70" spans="1:10" x14ac:dyDescent="0.35">
      <c r="A70" s="2" t="s">
        <v>14</v>
      </c>
      <c r="B70" s="2"/>
      <c r="C70" s="2"/>
      <c r="D70" s="2" t="s">
        <v>23</v>
      </c>
      <c r="E70" s="2"/>
      <c r="F70" s="2" t="s">
        <v>24</v>
      </c>
      <c r="G70" s="2"/>
      <c r="H70" s="2" t="s">
        <v>13</v>
      </c>
      <c r="I70" s="2" t="s">
        <v>13</v>
      </c>
      <c r="J70" s="2" t="s">
        <v>114</v>
      </c>
    </row>
    <row r="71" spans="1:10" x14ac:dyDescent="0.35">
      <c r="A71" s="2" t="s">
        <v>14</v>
      </c>
      <c r="B71" s="2"/>
      <c r="C71" s="2"/>
      <c r="D71" s="2" t="s">
        <v>25</v>
      </c>
      <c r="E71" s="2"/>
      <c r="F71" s="2" t="s">
        <v>26</v>
      </c>
      <c r="G71" s="2"/>
      <c r="H71" s="2" t="s">
        <v>13</v>
      </c>
      <c r="I71" s="2" t="s">
        <v>13</v>
      </c>
      <c r="J71" s="2" t="s">
        <v>114</v>
      </c>
    </row>
    <row r="72" spans="1:10" x14ac:dyDescent="0.35">
      <c r="A72" s="2" t="s">
        <v>14</v>
      </c>
      <c r="B72" s="2"/>
      <c r="C72" s="2"/>
      <c r="D72" s="2" t="s">
        <v>27</v>
      </c>
      <c r="E72" s="2"/>
      <c r="F72" s="2" t="s">
        <v>28</v>
      </c>
      <c r="G72" s="2"/>
      <c r="H72" s="2" t="s">
        <v>13</v>
      </c>
      <c r="I72" s="2" t="s">
        <v>13</v>
      </c>
      <c r="J72" s="2" t="s">
        <v>114</v>
      </c>
    </row>
    <row r="73" spans="1:10" x14ac:dyDescent="0.35">
      <c r="A73" s="2" t="s">
        <v>14</v>
      </c>
      <c r="B73" s="2"/>
      <c r="C73" s="2"/>
      <c r="D73" s="2" t="s">
        <v>29</v>
      </c>
      <c r="E73" s="2"/>
      <c r="F73" s="2" t="s">
        <v>30</v>
      </c>
      <c r="G73" s="2"/>
      <c r="H73" s="2" t="s">
        <v>13</v>
      </c>
      <c r="I73" s="2" t="s">
        <v>13</v>
      </c>
      <c r="J73" s="2" t="s">
        <v>114</v>
      </c>
    </row>
    <row r="74" spans="1:10" x14ac:dyDescent="0.35">
      <c r="A74" s="2" t="s">
        <v>14</v>
      </c>
      <c r="B74" s="2"/>
      <c r="C74" s="2"/>
      <c r="D74" s="2" t="s">
        <v>31</v>
      </c>
      <c r="E74" s="2"/>
      <c r="F74" s="2" t="s">
        <v>32</v>
      </c>
      <c r="G74" s="2"/>
      <c r="H74" s="2" t="s">
        <v>13</v>
      </c>
      <c r="I74" s="2" t="s">
        <v>13</v>
      </c>
      <c r="J74" s="2" t="s">
        <v>114</v>
      </c>
    </row>
    <row r="75" spans="1:10" x14ac:dyDescent="0.35">
      <c r="A75" s="2" t="s">
        <v>14</v>
      </c>
      <c r="B75" s="2"/>
      <c r="C75" s="2"/>
      <c r="D75" s="2" t="s">
        <v>33</v>
      </c>
      <c r="E75" s="2"/>
      <c r="F75" s="2" t="s">
        <v>34</v>
      </c>
      <c r="G75" s="2"/>
      <c r="H75" s="2" t="s">
        <v>13</v>
      </c>
      <c r="I75" s="2" t="s">
        <v>13</v>
      </c>
      <c r="J75" s="2" t="s">
        <v>114</v>
      </c>
    </row>
    <row r="76" spans="1:10" x14ac:dyDescent="0.35">
      <c r="A76" s="2"/>
      <c r="B76" s="2" t="s">
        <v>35</v>
      </c>
      <c r="C76" s="2"/>
      <c r="D76" s="2"/>
      <c r="E76" s="2"/>
      <c r="F76" s="2" t="s">
        <v>36</v>
      </c>
      <c r="G76" s="2"/>
      <c r="H76" s="2" t="s">
        <v>13</v>
      </c>
      <c r="I76" s="2" t="s">
        <v>13</v>
      </c>
      <c r="J76" s="2" t="s">
        <v>114</v>
      </c>
    </row>
    <row r="77" spans="1:10" x14ac:dyDescent="0.35">
      <c r="A77" s="2" t="s">
        <v>37</v>
      </c>
      <c r="B77" s="2"/>
      <c r="C77" s="2"/>
      <c r="D77" s="2"/>
      <c r="E77" s="2" t="s">
        <v>38</v>
      </c>
      <c r="F77" s="2" t="s">
        <v>39</v>
      </c>
      <c r="G77" s="2"/>
      <c r="H77" s="2" t="s">
        <v>13</v>
      </c>
      <c r="I77" s="2" t="s">
        <v>13</v>
      </c>
      <c r="J77" s="2" t="s">
        <v>114</v>
      </c>
    </row>
    <row r="78" spans="1:10" x14ac:dyDescent="0.35">
      <c r="A78" s="2" t="s">
        <v>37</v>
      </c>
      <c r="B78" s="2"/>
      <c r="C78" s="2"/>
      <c r="D78" s="2"/>
      <c r="E78" s="2" t="s">
        <v>40</v>
      </c>
      <c r="F78" s="2" t="s">
        <v>41</v>
      </c>
      <c r="G78" s="2"/>
      <c r="H78" s="2" t="s">
        <v>13</v>
      </c>
      <c r="I78" s="2" t="s">
        <v>13</v>
      </c>
      <c r="J78" s="2" t="s">
        <v>114</v>
      </c>
    </row>
    <row r="79" spans="1:10" x14ac:dyDescent="0.35">
      <c r="A79" s="2" t="s">
        <v>37</v>
      </c>
      <c r="B79" s="2"/>
      <c r="C79" s="2"/>
      <c r="D79" s="2"/>
      <c r="E79" s="2" t="s">
        <v>42</v>
      </c>
      <c r="F79" s="2" t="s">
        <v>43</v>
      </c>
      <c r="G79" s="2"/>
      <c r="H79" s="2" t="s">
        <v>13</v>
      </c>
      <c r="I79" s="2" t="s">
        <v>13</v>
      </c>
      <c r="J79" s="2" t="s">
        <v>114</v>
      </c>
    </row>
    <row r="80" spans="1:10" x14ac:dyDescent="0.35">
      <c r="A80" s="2" t="s">
        <v>37</v>
      </c>
      <c r="B80" s="2"/>
      <c r="C80" s="2"/>
      <c r="D80" s="2"/>
      <c r="E80" s="2" t="s">
        <v>44</v>
      </c>
      <c r="F80" s="2" t="s">
        <v>45</v>
      </c>
      <c r="G80" s="2"/>
      <c r="H80" s="2" t="s">
        <v>13</v>
      </c>
      <c r="I80" s="2" t="s">
        <v>13</v>
      </c>
      <c r="J80" s="2" t="s">
        <v>114</v>
      </c>
    </row>
    <row r="81" spans="1:10" x14ac:dyDescent="0.35">
      <c r="A81" s="2" t="s">
        <v>37</v>
      </c>
      <c r="B81" s="2"/>
      <c r="C81" s="2"/>
      <c r="D81" s="2"/>
      <c r="E81" s="2" t="s">
        <v>46</v>
      </c>
      <c r="F81" s="2" t="s">
        <v>47</v>
      </c>
      <c r="G81" s="2"/>
      <c r="H81" s="2" t="s">
        <v>13</v>
      </c>
      <c r="I81" s="2" t="s">
        <v>13</v>
      </c>
      <c r="J81" s="2" t="s">
        <v>114</v>
      </c>
    </row>
    <row r="82" spans="1:10" x14ac:dyDescent="0.35">
      <c r="A82" s="2"/>
      <c r="B82" s="2" t="s">
        <v>48</v>
      </c>
      <c r="C82" s="2"/>
      <c r="D82" s="2"/>
      <c r="E82" s="2"/>
      <c r="F82" s="2" t="s">
        <v>49</v>
      </c>
      <c r="G82" s="2"/>
      <c r="H82" s="2" t="s">
        <v>13</v>
      </c>
      <c r="I82" s="2" t="s">
        <v>13</v>
      </c>
      <c r="J82" s="2" t="s">
        <v>114</v>
      </c>
    </row>
    <row r="83" spans="1:10" x14ac:dyDescent="0.35">
      <c r="A83" s="2"/>
      <c r="B83" s="2" t="s">
        <v>50</v>
      </c>
      <c r="C83" s="2"/>
      <c r="D83" s="2"/>
      <c r="E83" s="2"/>
      <c r="F83" s="2" t="s">
        <v>51</v>
      </c>
      <c r="G83" s="2"/>
      <c r="H83" s="2" t="s">
        <v>13</v>
      </c>
      <c r="I83" s="2" t="s">
        <v>13</v>
      </c>
      <c r="J83" s="2" t="s">
        <v>114</v>
      </c>
    </row>
    <row r="84" spans="1:10" x14ac:dyDescent="0.35">
      <c r="A84" s="2" t="s">
        <v>52</v>
      </c>
      <c r="B84" s="2" t="s">
        <v>53</v>
      </c>
      <c r="C84" s="2"/>
      <c r="D84" s="2"/>
      <c r="E84" s="2"/>
      <c r="F84" s="2" t="s">
        <v>54</v>
      </c>
      <c r="G84" s="2"/>
      <c r="H84" s="2" t="s">
        <v>13</v>
      </c>
      <c r="I84" s="2" t="s">
        <v>13</v>
      </c>
      <c r="J84" s="2" t="s">
        <v>114</v>
      </c>
    </row>
    <row r="85" spans="1:10" x14ac:dyDescent="0.35">
      <c r="A85" s="2" t="s">
        <v>14</v>
      </c>
      <c r="B85" s="2"/>
      <c r="C85" s="2"/>
      <c r="D85" s="2" t="s">
        <v>55</v>
      </c>
      <c r="E85" s="2"/>
      <c r="F85" s="2" t="s">
        <v>56</v>
      </c>
      <c r="G85" s="2"/>
      <c r="H85" s="2" t="s">
        <v>13</v>
      </c>
      <c r="I85" s="2" t="s">
        <v>13</v>
      </c>
      <c r="J85" s="2" t="s">
        <v>114</v>
      </c>
    </row>
    <row r="86" spans="1:10" x14ac:dyDescent="0.35">
      <c r="A86" s="2" t="s">
        <v>14</v>
      </c>
      <c r="B86" s="2"/>
      <c r="C86" s="2"/>
      <c r="D86" s="2" t="s">
        <v>57</v>
      </c>
      <c r="E86" s="2"/>
      <c r="F86" s="2" t="s">
        <v>58</v>
      </c>
      <c r="G86" s="2"/>
      <c r="H86" s="2" t="s">
        <v>13</v>
      </c>
      <c r="I86" s="2" t="s">
        <v>13</v>
      </c>
      <c r="J86" s="2" t="s">
        <v>114</v>
      </c>
    </row>
    <row r="87" spans="1:10" x14ac:dyDescent="0.35">
      <c r="A87" s="2" t="s">
        <v>59</v>
      </c>
      <c r="B87" s="2" t="s">
        <v>60</v>
      </c>
      <c r="C87" s="2"/>
      <c r="D87" s="2"/>
      <c r="E87" s="2"/>
      <c r="F87" s="2" t="s">
        <v>61</v>
      </c>
      <c r="G87" s="2"/>
      <c r="H87" s="2" t="s">
        <v>13</v>
      </c>
      <c r="I87" s="2" t="s">
        <v>13</v>
      </c>
      <c r="J87" s="2" t="s">
        <v>114</v>
      </c>
    </row>
    <row r="88" spans="1:10" x14ac:dyDescent="0.35">
      <c r="A88" s="2" t="s">
        <v>14</v>
      </c>
      <c r="B88" s="2"/>
      <c r="C88" s="2"/>
      <c r="D88" s="2" t="s">
        <v>62</v>
      </c>
      <c r="E88" s="2"/>
      <c r="F88" s="2" t="s">
        <v>63</v>
      </c>
      <c r="G88" s="2"/>
      <c r="H88" s="2" t="s">
        <v>13</v>
      </c>
      <c r="I88" s="2" t="s">
        <v>13</v>
      </c>
      <c r="J88" s="2" t="s">
        <v>114</v>
      </c>
    </row>
    <row r="89" spans="1:10" x14ac:dyDescent="0.35">
      <c r="A89" s="2" t="s">
        <v>14</v>
      </c>
      <c r="B89" s="2" t="s">
        <v>64</v>
      </c>
      <c r="C89" s="2"/>
      <c r="D89" s="2"/>
      <c r="E89" s="2"/>
      <c r="F89" s="2" t="s">
        <v>65</v>
      </c>
      <c r="G89" s="2"/>
      <c r="H89" s="2" t="s">
        <v>13</v>
      </c>
      <c r="I89" s="2" t="s">
        <v>13</v>
      </c>
      <c r="J89" s="2" t="s">
        <v>114</v>
      </c>
    </row>
    <row r="90" spans="1:10" x14ac:dyDescent="0.35">
      <c r="A90" s="2" t="s">
        <v>52</v>
      </c>
      <c r="B90" s="2" t="s">
        <v>66</v>
      </c>
      <c r="C90" s="2"/>
      <c r="D90" s="2"/>
      <c r="E90" s="2"/>
      <c r="F90" s="2" t="s">
        <v>67</v>
      </c>
      <c r="G90" s="2"/>
      <c r="H90" s="2" t="s">
        <v>13</v>
      </c>
      <c r="I90" s="2" t="s">
        <v>13</v>
      </c>
      <c r="J90" s="2" t="s">
        <v>114</v>
      </c>
    </row>
    <row r="91" spans="1:10" x14ac:dyDescent="0.35">
      <c r="A91" s="2"/>
      <c r="B91" s="2" t="s">
        <v>11</v>
      </c>
      <c r="C91" s="2"/>
      <c r="D91" s="2"/>
      <c r="E91" s="2"/>
      <c r="F91" s="2" t="s">
        <v>12</v>
      </c>
      <c r="G91" s="2"/>
      <c r="H91" s="2" t="s">
        <v>13</v>
      </c>
      <c r="I91" s="2" t="s">
        <v>13</v>
      </c>
      <c r="J91" s="2" t="s">
        <v>114</v>
      </c>
    </row>
    <row r="92" spans="1:10" x14ac:dyDescent="0.35">
      <c r="A92" s="2" t="s">
        <v>14</v>
      </c>
      <c r="B92" s="2"/>
      <c r="C92" s="2"/>
      <c r="D92" s="2" t="s">
        <v>15</v>
      </c>
      <c r="E92" s="2"/>
      <c r="F92" s="2" t="s">
        <v>16</v>
      </c>
      <c r="G92" s="2"/>
      <c r="H92" s="2" t="s">
        <v>13</v>
      </c>
      <c r="I92" s="2" t="s">
        <v>13</v>
      </c>
      <c r="J92" s="2" t="s">
        <v>114</v>
      </c>
    </row>
    <row r="93" spans="1:10" x14ac:dyDescent="0.35">
      <c r="A93" s="2" t="s">
        <v>14</v>
      </c>
      <c r="B93" s="2"/>
      <c r="C93" s="2"/>
      <c r="D93" s="2" t="s">
        <v>17</v>
      </c>
      <c r="E93" s="2"/>
      <c r="F93" s="2" t="s">
        <v>18</v>
      </c>
      <c r="G93" s="2"/>
      <c r="H93" s="2" t="s">
        <v>13</v>
      </c>
      <c r="I93" s="2" t="s">
        <v>13</v>
      </c>
      <c r="J93" s="2" t="s">
        <v>114</v>
      </c>
    </row>
    <row r="94" spans="1:10" x14ac:dyDescent="0.35">
      <c r="A94" s="2" t="s">
        <v>14</v>
      </c>
      <c r="B94" s="2"/>
      <c r="C94" s="2"/>
      <c r="D94" s="2" t="s">
        <v>19</v>
      </c>
      <c r="E94" s="2"/>
      <c r="F94" s="2" t="s">
        <v>20</v>
      </c>
      <c r="G94" s="2"/>
      <c r="H94" s="2" t="s">
        <v>13</v>
      </c>
      <c r="I94" s="2" t="s">
        <v>13</v>
      </c>
      <c r="J94" s="2" t="s">
        <v>114</v>
      </c>
    </row>
    <row r="95" spans="1:10" x14ac:dyDescent="0.35">
      <c r="A95" s="2" t="s">
        <v>14</v>
      </c>
      <c r="B95" s="2"/>
      <c r="C95" s="2"/>
      <c r="D95" s="2" t="s">
        <v>21</v>
      </c>
      <c r="E95" s="2"/>
      <c r="F95" s="2" t="s">
        <v>22</v>
      </c>
      <c r="G95" s="2"/>
      <c r="H95" s="2" t="s">
        <v>13</v>
      </c>
      <c r="I95" s="2" t="s">
        <v>13</v>
      </c>
      <c r="J95" s="2" t="s">
        <v>114</v>
      </c>
    </row>
    <row r="96" spans="1:10" x14ac:dyDescent="0.35">
      <c r="A96" s="2" t="s">
        <v>14</v>
      </c>
      <c r="B96" s="2"/>
      <c r="C96" s="2"/>
      <c r="D96" s="2" t="s">
        <v>23</v>
      </c>
      <c r="E96" s="2"/>
      <c r="F96" s="2" t="s">
        <v>24</v>
      </c>
      <c r="G96" s="2"/>
      <c r="H96" s="2" t="s">
        <v>13</v>
      </c>
      <c r="I96" s="2" t="s">
        <v>13</v>
      </c>
      <c r="J96" s="2" t="s">
        <v>114</v>
      </c>
    </row>
    <row r="97" spans="1:10" x14ac:dyDescent="0.35">
      <c r="A97" s="2" t="s">
        <v>14</v>
      </c>
      <c r="B97" s="2"/>
      <c r="C97" s="2"/>
      <c r="D97" s="2" t="s">
        <v>25</v>
      </c>
      <c r="E97" s="2"/>
      <c r="F97" s="2" t="s">
        <v>26</v>
      </c>
      <c r="G97" s="2"/>
      <c r="H97" s="2" t="s">
        <v>13</v>
      </c>
      <c r="I97" s="2" t="s">
        <v>13</v>
      </c>
      <c r="J97" s="2" t="s">
        <v>114</v>
      </c>
    </row>
    <row r="98" spans="1:10" x14ac:dyDescent="0.35">
      <c r="A98" s="2" t="s">
        <v>14</v>
      </c>
      <c r="B98" s="2"/>
      <c r="C98" s="2"/>
      <c r="D98" s="2" t="s">
        <v>27</v>
      </c>
      <c r="E98" s="2"/>
      <c r="F98" s="2" t="s">
        <v>28</v>
      </c>
      <c r="G98" s="2"/>
      <c r="H98" s="2" t="s">
        <v>13</v>
      </c>
      <c r="I98" s="2" t="s">
        <v>13</v>
      </c>
      <c r="J98" s="2" t="s">
        <v>114</v>
      </c>
    </row>
    <row r="99" spans="1:10" x14ac:dyDescent="0.35">
      <c r="A99" s="2" t="s">
        <v>14</v>
      </c>
      <c r="B99" s="2"/>
      <c r="C99" s="2"/>
      <c r="D99" s="2" t="s">
        <v>29</v>
      </c>
      <c r="E99" s="2"/>
      <c r="F99" s="2" t="s">
        <v>30</v>
      </c>
      <c r="G99" s="2"/>
      <c r="H99" s="2" t="s">
        <v>13</v>
      </c>
      <c r="I99" s="2" t="s">
        <v>13</v>
      </c>
      <c r="J99" s="2" t="s">
        <v>114</v>
      </c>
    </row>
    <row r="100" spans="1:10" x14ac:dyDescent="0.35">
      <c r="A100" s="2" t="s">
        <v>14</v>
      </c>
      <c r="B100" s="2"/>
      <c r="C100" s="2"/>
      <c r="D100" s="2" t="s">
        <v>31</v>
      </c>
      <c r="E100" s="2"/>
      <c r="F100" s="2" t="s">
        <v>32</v>
      </c>
      <c r="G100" s="2"/>
      <c r="H100" s="2" t="s">
        <v>13</v>
      </c>
      <c r="I100" s="2" t="s">
        <v>13</v>
      </c>
      <c r="J100" s="2" t="s">
        <v>114</v>
      </c>
    </row>
    <row r="101" spans="1:10" x14ac:dyDescent="0.35">
      <c r="A101" s="2" t="s">
        <v>14</v>
      </c>
      <c r="B101" s="2"/>
      <c r="C101" s="2"/>
      <c r="D101" s="2" t="s">
        <v>33</v>
      </c>
      <c r="E101" s="2"/>
      <c r="F101" s="2" t="s">
        <v>34</v>
      </c>
      <c r="G101" s="2"/>
      <c r="H101" s="2" t="s">
        <v>13</v>
      </c>
      <c r="I101" s="2" t="s">
        <v>13</v>
      </c>
      <c r="J101" s="2" t="s">
        <v>114</v>
      </c>
    </row>
    <row r="102" spans="1:10" x14ac:dyDescent="0.35">
      <c r="A102" s="2"/>
      <c r="B102" s="2" t="s">
        <v>35</v>
      </c>
      <c r="C102" s="2"/>
      <c r="D102" s="2"/>
      <c r="E102" s="2"/>
      <c r="F102" s="2" t="s">
        <v>36</v>
      </c>
      <c r="G102" s="2"/>
      <c r="H102" s="2" t="s">
        <v>13</v>
      </c>
      <c r="I102" s="2" t="s">
        <v>13</v>
      </c>
      <c r="J102" s="2" t="s">
        <v>114</v>
      </c>
    </row>
    <row r="103" spans="1:10" x14ac:dyDescent="0.35">
      <c r="A103" s="2" t="s">
        <v>37</v>
      </c>
      <c r="B103" s="2"/>
      <c r="C103" s="2"/>
      <c r="D103" s="2"/>
      <c r="E103" s="2" t="s">
        <v>38</v>
      </c>
      <c r="F103" s="2" t="s">
        <v>39</v>
      </c>
      <c r="G103" s="2"/>
      <c r="H103" s="2" t="s">
        <v>13</v>
      </c>
      <c r="I103" s="2" t="s">
        <v>13</v>
      </c>
      <c r="J103" s="2" t="s">
        <v>114</v>
      </c>
    </row>
    <row r="104" spans="1:10" x14ac:dyDescent="0.35">
      <c r="A104" s="2" t="s">
        <v>37</v>
      </c>
      <c r="B104" s="2"/>
      <c r="C104" s="2"/>
      <c r="D104" s="2"/>
      <c r="E104" s="2" t="s">
        <v>40</v>
      </c>
      <c r="F104" s="2" t="s">
        <v>41</v>
      </c>
      <c r="G104" s="2"/>
      <c r="H104" s="2" t="s">
        <v>13</v>
      </c>
      <c r="I104" s="2" t="s">
        <v>13</v>
      </c>
      <c r="J104" s="2" t="s">
        <v>114</v>
      </c>
    </row>
    <row r="105" spans="1:10" x14ac:dyDescent="0.35">
      <c r="A105" s="2" t="s">
        <v>37</v>
      </c>
      <c r="B105" s="2"/>
      <c r="C105" s="2"/>
      <c r="D105" s="2"/>
      <c r="E105" s="2" t="s">
        <v>42</v>
      </c>
      <c r="F105" s="2" t="s">
        <v>43</v>
      </c>
      <c r="G105" s="2"/>
      <c r="H105" s="2" t="s">
        <v>13</v>
      </c>
      <c r="I105" s="2" t="s">
        <v>13</v>
      </c>
      <c r="J105" s="2" t="s">
        <v>114</v>
      </c>
    </row>
    <row r="106" spans="1:10" x14ac:dyDescent="0.35">
      <c r="A106" s="2" t="s">
        <v>37</v>
      </c>
      <c r="B106" s="2"/>
      <c r="C106" s="2"/>
      <c r="D106" s="2"/>
      <c r="E106" s="2" t="s">
        <v>44</v>
      </c>
      <c r="F106" s="2" t="s">
        <v>45</v>
      </c>
      <c r="G106" s="2"/>
      <c r="H106" s="2" t="s">
        <v>13</v>
      </c>
      <c r="I106" s="2" t="s">
        <v>13</v>
      </c>
      <c r="J106" s="2" t="s">
        <v>114</v>
      </c>
    </row>
    <row r="107" spans="1:10" x14ac:dyDescent="0.35">
      <c r="A107" s="2" t="s">
        <v>37</v>
      </c>
      <c r="B107" s="2"/>
      <c r="C107" s="2"/>
      <c r="D107" s="2"/>
      <c r="E107" s="2" t="s">
        <v>46</v>
      </c>
      <c r="F107" s="2" t="s">
        <v>47</v>
      </c>
      <c r="G107" s="2"/>
      <c r="H107" s="2" t="s">
        <v>13</v>
      </c>
      <c r="I107" s="2" t="s">
        <v>13</v>
      </c>
      <c r="J107" s="2" t="s">
        <v>114</v>
      </c>
    </row>
    <row r="108" spans="1:10" x14ac:dyDescent="0.35">
      <c r="A108" s="2"/>
      <c r="B108" s="2" t="s">
        <v>48</v>
      </c>
      <c r="C108" s="2"/>
      <c r="D108" s="2"/>
      <c r="E108" s="2"/>
      <c r="F108" s="2" t="s">
        <v>49</v>
      </c>
      <c r="G108" s="2"/>
      <c r="H108" s="2" t="s">
        <v>13</v>
      </c>
      <c r="I108" s="2" t="s">
        <v>13</v>
      </c>
      <c r="J108" s="2" t="s">
        <v>114</v>
      </c>
    </row>
    <row r="109" spans="1:10" x14ac:dyDescent="0.35">
      <c r="A109" s="2"/>
      <c r="B109" s="2" t="s">
        <v>50</v>
      </c>
      <c r="C109" s="2"/>
      <c r="D109" s="2"/>
      <c r="E109" s="2"/>
      <c r="F109" s="2" t="s">
        <v>51</v>
      </c>
      <c r="G109" s="2"/>
      <c r="H109" s="2" t="s">
        <v>13</v>
      </c>
      <c r="I109" s="2" t="s">
        <v>13</v>
      </c>
      <c r="J109" s="2" t="s">
        <v>114</v>
      </c>
    </row>
    <row r="110" spans="1:10" x14ac:dyDescent="0.35">
      <c r="A110" s="2" t="s">
        <v>52</v>
      </c>
      <c r="B110" s="2" t="s">
        <v>53</v>
      </c>
      <c r="C110" s="2"/>
      <c r="D110" s="2"/>
      <c r="E110" s="2"/>
      <c r="F110" s="2" t="s">
        <v>54</v>
      </c>
      <c r="G110" s="2"/>
      <c r="H110" s="2" t="s">
        <v>13</v>
      </c>
      <c r="I110" s="2" t="s">
        <v>13</v>
      </c>
      <c r="J110" s="2" t="s">
        <v>114</v>
      </c>
    </row>
    <row r="111" spans="1:10" x14ac:dyDescent="0.35">
      <c r="A111" s="2" t="s">
        <v>14</v>
      </c>
      <c r="B111" s="2"/>
      <c r="C111" s="2"/>
      <c r="D111" s="2" t="s">
        <v>55</v>
      </c>
      <c r="E111" s="2"/>
      <c r="F111" s="2" t="s">
        <v>56</v>
      </c>
      <c r="G111" s="2"/>
      <c r="H111" s="2" t="s">
        <v>13</v>
      </c>
      <c r="I111" s="2" t="s">
        <v>13</v>
      </c>
      <c r="J111" s="2" t="s">
        <v>114</v>
      </c>
    </row>
    <row r="112" spans="1:10" x14ac:dyDescent="0.35">
      <c r="A112" s="2" t="s">
        <v>14</v>
      </c>
      <c r="B112" s="2"/>
      <c r="C112" s="2"/>
      <c r="D112" s="2" t="s">
        <v>57</v>
      </c>
      <c r="E112" s="2"/>
      <c r="F112" s="2" t="s">
        <v>58</v>
      </c>
      <c r="G112" s="2"/>
      <c r="H112" s="2" t="s">
        <v>13</v>
      </c>
      <c r="I112" s="2" t="s">
        <v>13</v>
      </c>
      <c r="J112" s="2" t="s">
        <v>114</v>
      </c>
    </row>
    <row r="113" spans="1:10" x14ac:dyDescent="0.35">
      <c r="A113" s="2" t="s">
        <v>59</v>
      </c>
      <c r="B113" s="2" t="s">
        <v>60</v>
      </c>
      <c r="C113" s="2"/>
      <c r="D113" s="2"/>
      <c r="E113" s="2"/>
      <c r="F113" s="2" t="s">
        <v>61</v>
      </c>
      <c r="G113" s="2"/>
      <c r="H113" s="2" t="s">
        <v>13</v>
      </c>
      <c r="I113" s="2" t="s">
        <v>13</v>
      </c>
      <c r="J113" s="2" t="s">
        <v>114</v>
      </c>
    </row>
    <row r="114" spans="1:10" x14ac:dyDescent="0.35">
      <c r="A114" s="2" t="s">
        <v>14</v>
      </c>
      <c r="B114" s="2"/>
      <c r="C114" s="2"/>
      <c r="D114" s="2" t="s">
        <v>62</v>
      </c>
      <c r="E114" s="2"/>
      <c r="F114" s="2" t="s">
        <v>63</v>
      </c>
      <c r="G114" s="2"/>
      <c r="H114" s="2" t="s">
        <v>13</v>
      </c>
      <c r="I114" s="2" t="s">
        <v>13</v>
      </c>
      <c r="J114" s="2" t="s">
        <v>114</v>
      </c>
    </row>
    <row r="115" spans="1:10" x14ac:dyDescent="0.35">
      <c r="A115" s="2" t="s">
        <v>14</v>
      </c>
      <c r="B115" s="2" t="s">
        <v>64</v>
      </c>
      <c r="C115" s="2"/>
      <c r="D115" s="2"/>
      <c r="E115" s="2"/>
      <c r="F115" s="2" t="s">
        <v>65</v>
      </c>
      <c r="G115" s="2"/>
      <c r="H115" s="2" t="s">
        <v>13</v>
      </c>
      <c r="I115" s="2" t="s">
        <v>13</v>
      </c>
      <c r="J115" s="2" t="s">
        <v>114</v>
      </c>
    </row>
    <row r="116" spans="1:10" x14ac:dyDescent="0.35">
      <c r="A116" s="2" t="s">
        <v>52</v>
      </c>
      <c r="B116" s="2" t="s">
        <v>66</v>
      </c>
      <c r="C116" s="2"/>
      <c r="D116" s="2"/>
      <c r="E116" s="2"/>
      <c r="F116" s="2" t="s">
        <v>67</v>
      </c>
      <c r="G116" s="2"/>
      <c r="H116" s="2" t="s">
        <v>13</v>
      </c>
      <c r="I116" s="2" t="s">
        <v>13</v>
      </c>
      <c r="J116" s="2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63227-568C-46DF-958A-CFC24654ABFF}">
  <sheetPr>
    <tabColor rgb="FF7030A0"/>
  </sheetPr>
  <dimension ref="A1:N8"/>
  <sheetViews>
    <sheetView tabSelected="1" workbookViewId="0">
      <selection activeCell="F16" sqref="F16"/>
    </sheetView>
  </sheetViews>
  <sheetFormatPr defaultRowHeight="14.5" x14ac:dyDescent="0.35"/>
  <cols>
    <col min="5" max="5" width="28.6328125" bestFit="1" customWidth="1"/>
  </cols>
  <sheetData>
    <row r="1" spans="1:14" x14ac:dyDescent="0.35">
      <c r="A1" t="s">
        <v>68</v>
      </c>
    </row>
    <row r="2" spans="1:14" x14ac:dyDescent="0.35">
      <c r="A2" s="1" t="s">
        <v>69</v>
      </c>
      <c r="B2" s="1" t="s">
        <v>70</v>
      </c>
      <c r="C2" s="1" t="s">
        <v>71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L2" s="3" t="s">
        <v>116</v>
      </c>
      <c r="M2" s="3" t="s">
        <v>117</v>
      </c>
      <c r="N2" s="3" t="s">
        <v>118</v>
      </c>
    </row>
    <row r="3" spans="1:14" x14ac:dyDescent="0.35">
      <c r="A3" t="s">
        <v>166</v>
      </c>
      <c r="B3" t="s">
        <v>187</v>
      </c>
      <c r="D3" t="str">
        <f t="shared" ref="D3:D8" si="0">L3</f>
        <v>NRG_ELC</v>
      </c>
      <c r="E3" t="str">
        <f t="shared" ref="E3:E8" si="1">M3&amp;" [TIMESreport "&amp;N3&amp;"]"</f>
        <v>Electricity [TIMESreport comgroup]</v>
      </c>
      <c r="F3" t="s">
        <v>13</v>
      </c>
      <c r="G3" t="s">
        <v>13</v>
      </c>
      <c r="L3" t="s">
        <v>74</v>
      </c>
      <c r="M3" t="s">
        <v>124</v>
      </c>
      <c r="N3" t="s">
        <v>123</v>
      </c>
    </row>
    <row r="4" spans="1:14" x14ac:dyDescent="0.35">
      <c r="A4" t="s">
        <v>166</v>
      </c>
      <c r="B4" t="s">
        <v>21</v>
      </c>
      <c r="D4" t="str">
        <f t="shared" si="0"/>
        <v>NRG_GAS</v>
      </c>
      <c r="E4" t="str">
        <f t="shared" si="1"/>
        <v>Gas [TIMESreport comgroup]</v>
      </c>
      <c r="F4" t="s">
        <v>13</v>
      </c>
      <c r="G4" t="s">
        <v>13</v>
      </c>
      <c r="L4" t="s">
        <v>75</v>
      </c>
      <c r="M4" t="s">
        <v>125</v>
      </c>
      <c r="N4" t="s">
        <v>123</v>
      </c>
    </row>
    <row r="5" spans="1:14" x14ac:dyDescent="0.35">
      <c r="A5" t="s">
        <v>166</v>
      </c>
      <c r="B5" t="s">
        <v>25</v>
      </c>
      <c r="D5" t="str">
        <f t="shared" si="0"/>
        <v>NRG_NUK</v>
      </c>
      <c r="E5" t="str">
        <f t="shared" si="1"/>
        <v>Nuclear [TIMESreport comgroup]</v>
      </c>
      <c r="F5" t="s">
        <v>13</v>
      </c>
      <c r="G5" t="s">
        <v>13</v>
      </c>
      <c r="L5" t="s">
        <v>78</v>
      </c>
      <c r="M5" t="s">
        <v>126</v>
      </c>
      <c r="N5" t="s">
        <v>123</v>
      </c>
    </row>
    <row r="6" spans="1:14" x14ac:dyDescent="0.35">
      <c r="A6" t="s">
        <v>166</v>
      </c>
      <c r="B6" t="s">
        <v>79</v>
      </c>
      <c r="D6" t="str">
        <f t="shared" si="0"/>
        <v>NRG_OIL</v>
      </c>
      <c r="E6" t="str">
        <f t="shared" si="1"/>
        <v>Oil [TIMESreport comgroup]</v>
      </c>
      <c r="F6" t="s">
        <v>13</v>
      </c>
      <c r="G6" t="s">
        <v>13</v>
      </c>
      <c r="L6" t="s">
        <v>167</v>
      </c>
      <c r="M6" t="s">
        <v>127</v>
      </c>
      <c r="N6" t="s">
        <v>123</v>
      </c>
    </row>
    <row r="7" spans="1:14" x14ac:dyDescent="0.35">
      <c r="A7" t="s">
        <v>166</v>
      </c>
      <c r="B7" t="s">
        <v>81</v>
      </c>
      <c r="D7" t="str">
        <f t="shared" si="0"/>
        <v>NRG_RNW</v>
      </c>
      <c r="E7" t="str">
        <f t="shared" si="1"/>
        <v>Renewable [TIMESreport comgroup]</v>
      </c>
      <c r="F7" t="s">
        <v>13</v>
      </c>
      <c r="G7" t="s">
        <v>13</v>
      </c>
      <c r="L7" t="s">
        <v>82</v>
      </c>
      <c r="M7" t="s">
        <v>128</v>
      </c>
      <c r="N7" t="s">
        <v>123</v>
      </c>
    </row>
    <row r="8" spans="1:14" x14ac:dyDescent="0.35">
      <c r="A8" t="s">
        <v>166</v>
      </c>
      <c r="B8" t="s">
        <v>19</v>
      </c>
      <c r="D8" t="str">
        <f t="shared" si="0"/>
        <v>NRG_COA</v>
      </c>
      <c r="E8" t="str">
        <f t="shared" si="1"/>
        <v>Coal [TIMESreport comgroup]</v>
      </c>
      <c r="F8" t="s">
        <v>13</v>
      </c>
      <c r="G8" t="s">
        <v>13</v>
      </c>
      <c r="L8" t="s">
        <v>168</v>
      </c>
      <c r="M8" t="s">
        <v>169</v>
      </c>
      <c r="N8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0305-D145-42E6-8DC6-C7E12995353D}">
  <sheetPr>
    <tabColor rgb="FF7030A0"/>
  </sheetPr>
  <dimension ref="A1:N27"/>
  <sheetViews>
    <sheetView workbookViewId="0">
      <selection activeCell="L1" sqref="L1"/>
    </sheetView>
  </sheetViews>
  <sheetFormatPr defaultRowHeight="14.5" x14ac:dyDescent="0.35"/>
  <cols>
    <col min="1" max="1" width="27.26953125" bestFit="1" customWidth="1"/>
    <col min="5" max="5" width="16.08984375" bestFit="1" customWidth="1"/>
    <col min="7" max="7" width="36.36328125" bestFit="1" customWidth="1"/>
    <col min="10" max="10" width="8.36328125" bestFit="1" customWidth="1"/>
    <col min="12" max="12" width="14.08984375" bestFit="1" customWidth="1"/>
    <col min="13" max="13" width="27.90625" bestFit="1" customWidth="1"/>
  </cols>
  <sheetData>
    <row r="1" spans="1:14" x14ac:dyDescent="0.35">
      <c r="A1" t="s">
        <v>0</v>
      </c>
    </row>
    <row r="2" spans="1:14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L2" s="3" t="s">
        <v>116</v>
      </c>
      <c r="M2" s="3" t="s">
        <v>117</v>
      </c>
      <c r="N2" s="3" t="s">
        <v>118</v>
      </c>
    </row>
    <row r="3" spans="1:14" x14ac:dyDescent="0.35">
      <c r="B3" t="s">
        <v>115</v>
      </c>
      <c r="F3" t="str">
        <f>L3</f>
        <v>TR_ELE</v>
      </c>
      <c r="G3" t="str">
        <f>M3&amp;" [TIMESreport "&amp;N3&amp;"]"</f>
        <v>Electricity supply sector [TIMESreport sector]</v>
      </c>
      <c r="H3" t="s">
        <v>13</v>
      </c>
      <c r="I3" t="s">
        <v>13</v>
      </c>
      <c r="L3" t="s">
        <v>130</v>
      </c>
      <c r="M3" t="s">
        <v>103</v>
      </c>
      <c r="N3" t="s">
        <v>119</v>
      </c>
    </row>
    <row r="4" spans="1:14" x14ac:dyDescent="0.35">
      <c r="B4" t="s">
        <v>110</v>
      </c>
      <c r="F4" t="str">
        <f t="shared" ref="F4:F17" si="0">L4</f>
        <v>TR_IND</v>
      </c>
      <c r="G4" t="str">
        <f t="shared" ref="G4:G17" si="1">M4&amp;" [TIMESreport "&amp;N4&amp;"]"</f>
        <v>Industry sector [TIMESreport sector]</v>
      </c>
      <c r="H4" t="s">
        <v>13</v>
      </c>
      <c r="I4" t="s">
        <v>13</v>
      </c>
      <c r="L4" t="s">
        <v>131</v>
      </c>
      <c r="M4" t="s">
        <v>104</v>
      </c>
      <c r="N4" t="s">
        <v>119</v>
      </c>
    </row>
    <row r="5" spans="1:14" x14ac:dyDescent="0.35">
      <c r="B5" t="s">
        <v>53</v>
      </c>
      <c r="F5" t="str">
        <f t="shared" si="0"/>
        <v>TR_MIN</v>
      </c>
      <c r="G5" t="str">
        <f t="shared" si="1"/>
        <v>Mining technologies [TIMESreport sector]</v>
      </c>
      <c r="H5" t="s">
        <v>13</v>
      </c>
      <c r="I5" t="s">
        <v>13</v>
      </c>
      <c r="L5" t="s">
        <v>132</v>
      </c>
      <c r="M5" t="s">
        <v>86</v>
      </c>
      <c r="N5" t="s">
        <v>119</v>
      </c>
    </row>
    <row r="6" spans="1:14" x14ac:dyDescent="0.35">
      <c r="B6" t="s">
        <v>165</v>
      </c>
      <c r="F6" t="str">
        <f t="shared" si="0"/>
        <v>TR_TRD</v>
      </c>
      <c r="G6" t="str">
        <f t="shared" si="1"/>
        <v>Trade technologies [TIMESreport sector]</v>
      </c>
      <c r="H6" t="s">
        <v>13</v>
      </c>
      <c r="I6" t="s">
        <v>13</v>
      </c>
      <c r="L6" t="s">
        <v>133</v>
      </c>
      <c r="M6" t="s">
        <v>89</v>
      </c>
      <c r="N6" t="s">
        <v>119</v>
      </c>
    </row>
    <row r="7" spans="1:14" x14ac:dyDescent="0.35">
      <c r="B7" t="s">
        <v>90</v>
      </c>
      <c r="F7" t="str">
        <f t="shared" si="0"/>
        <v>TR_REF</v>
      </c>
      <c r="G7" t="str">
        <f t="shared" si="1"/>
        <v>Refinery  [TIMESreport sector]</v>
      </c>
      <c r="H7" t="s">
        <v>13</v>
      </c>
      <c r="I7" t="s">
        <v>13</v>
      </c>
      <c r="L7" t="s">
        <v>134</v>
      </c>
      <c r="M7" t="s">
        <v>91</v>
      </c>
      <c r="N7" t="s">
        <v>119</v>
      </c>
    </row>
    <row r="8" spans="1:14" x14ac:dyDescent="0.35">
      <c r="B8" t="s">
        <v>93</v>
      </c>
      <c r="F8" t="str">
        <f t="shared" si="0"/>
        <v>TR_AGR</v>
      </c>
      <c r="G8" t="str">
        <f t="shared" si="1"/>
        <v>Agriculture sector [TIMESreport sector]</v>
      </c>
      <c r="H8" t="s">
        <v>13</v>
      </c>
      <c r="I8" t="s">
        <v>13</v>
      </c>
      <c r="L8" t="s">
        <v>135</v>
      </c>
      <c r="M8" t="s">
        <v>95</v>
      </c>
      <c r="N8" t="s">
        <v>119</v>
      </c>
    </row>
    <row r="9" spans="1:14" x14ac:dyDescent="0.35">
      <c r="B9" t="s">
        <v>96</v>
      </c>
      <c r="F9" t="str">
        <f t="shared" si="0"/>
        <v>TR_COM</v>
      </c>
      <c r="G9" t="str">
        <f t="shared" si="1"/>
        <v>Commercial sector [TIMESreport sector]</v>
      </c>
      <c r="H9" t="s">
        <v>13</v>
      </c>
      <c r="I9" t="s">
        <v>13</v>
      </c>
      <c r="L9" t="s">
        <v>136</v>
      </c>
      <c r="M9" t="s">
        <v>100</v>
      </c>
      <c r="N9" t="s">
        <v>119</v>
      </c>
    </row>
    <row r="10" spans="1:14" x14ac:dyDescent="0.35">
      <c r="B10" t="s">
        <v>111</v>
      </c>
      <c r="F10" t="str">
        <f t="shared" si="0"/>
        <v>TR_RES</v>
      </c>
      <c r="G10" t="str">
        <f t="shared" si="1"/>
        <v>Residential sector [TIMESreport sector]</v>
      </c>
      <c r="H10" t="s">
        <v>13</v>
      </c>
      <c r="I10" t="s">
        <v>13</v>
      </c>
      <c r="L10" t="s">
        <v>137</v>
      </c>
      <c r="M10" t="s">
        <v>99</v>
      </c>
      <c r="N10" t="s">
        <v>119</v>
      </c>
    </row>
    <row r="11" spans="1:14" x14ac:dyDescent="0.35">
      <c r="B11" t="s">
        <v>106</v>
      </c>
      <c r="F11" t="str">
        <f t="shared" si="0"/>
        <v>TR_TRA</v>
      </c>
      <c r="G11" t="str">
        <f t="shared" si="1"/>
        <v>Transport sector [TIMESreport sector]</v>
      </c>
      <c r="H11" t="s">
        <v>13</v>
      </c>
      <c r="I11" t="s">
        <v>13</v>
      </c>
      <c r="L11" t="s">
        <v>138</v>
      </c>
      <c r="M11" t="s">
        <v>102</v>
      </c>
      <c r="N11" t="s">
        <v>119</v>
      </c>
    </row>
    <row r="12" spans="1:14" x14ac:dyDescent="0.35">
      <c r="B12" t="s">
        <v>109</v>
      </c>
      <c r="F12" t="str">
        <f t="shared" si="0"/>
        <v>TR_TRM</v>
      </c>
      <c r="G12" t="str">
        <f t="shared" si="1"/>
        <v>Transmission of electricity and gas [TIMESreport sector]</v>
      </c>
      <c r="H12" t="s">
        <v>13</v>
      </c>
      <c r="I12" t="s">
        <v>13</v>
      </c>
      <c r="L12" t="s">
        <v>139</v>
      </c>
      <c r="M12" t="s">
        <v>108</v>
      </c>
      <c r="N12" t="s">
        <v>119</v>
      </c>
    </row>
    <row r="13" spans="1:14" x14ac:dyDescent="0.35">
      <c r="A13" t="s">
        <v>14</v>
      </c>
      <c r="D13" t="s">
        <v>55</v>
      </c>
      <c r="F13" t="str">
        <f t="shared" si="0"/>
        <v>TR_PP_FOSSIL</v>
      </c>
      <c r="G13" t="str">
        <f t="shared" si="1"/>
        <v>Fossile power plants [TIMESreport techgroup]</v>
      </c>
      <c r="H13" t="s">
        <v>13</v>
      </c>
      <c r="I13" t="s">
        <v>13</v>
      </c>
      <c r="L13" t="s">
        <v>159</v>
      </c>
      <c r="M13" t="s">
        <v>140</v>
      </c>
      <c r="N13" t="s">
        <v>122</v>
      </c>
    </row>
    <row r="14" spans="1:14" x14ac:dyDescent="0.35">
      <c r="A14" t="s">
        <v>14</v>
      </c>
      <c r="D14" t="s">
        <v>57</v>
      </c>
      <c r="F14" t="str">
        <f t="shared" si="0"/>
        <v>TR_PP_NUCLEAR</v>
      </c>
      <c r="G14" t="str">
        <f t="shared" si="1"/>
        <v>Nuclear power plants [TIMESreport techgroup]</v>
      </c>
      <c r="H14" t="s">
        <v>13</v>
      </c>
      <c r="I14" t="s">
        <v>13</v>
      </c>
      <c r="L14" t="s">
        <v>160</v>
      </c>
      <c r="M14" t="s">
        <v>141</v>
      </c>
      <c r="N14" t="s">
        <v>122</v>
      </c>
    </row>
    <row r="15" spans="1:14" x14ac:dyDescent="0.35">
      <c r="A15" t="s">
        <v>14</v>
      </c>
      <c r="D15" t="s">
        <v>62</v>
      </c>
      <c r="F15" t="str">
        <f t="shared" si="0"/>
        <v>TR_PP_RENEW</v>
      </c>
      <c r="G15" t="str">
        <f t="shared" si="1"/>
        <v>Renewable power plant [TIMESreport techgroup]</v>
      </c>
      <c r="H15" t="s">
        <v>13</v>
      </c>
      <c r="I15" t="s">
        <v>13</v>
      </c>
      <c r="L15" t="s">
        <v>161</v>
      </c>
      <c r="M15" t="s">
        <v>142</v>
      </c>
      <c r="N15" t="s">
        <v>122</v>
      </c>
    </row>
    <row r="16" spans="1:14" x14ac:dyDescent="0.35">
      <c r="A16" t="s">
        <v>143</v>
      </c>
      <c r="E16" s="4" t="s">
        <v>144</v>
      </c>
      <c r="F16" t="str">
        <f t="shared" si="0"/>
        <v>TR_ES_STEEL</v>
      </c>
      <c r="G16" t="str">
        <f t="shared" si="1"/>
        <v>Steel service [TIMESreport service]</v>
      </c>
      <c r="H16" t="s">
        <v>13</v>
      </c>
      <c r="I16" t="s">
        <v>13</v>
      </c>
      <c r="L16" t="s">
        <v>146</v>
      </c>
      <c r="M16" t="s">
        <v>145</v>
      </c>
      <c r="N16" t="s">
        <v>120</v>
      </c>
    </row>
    <row r="17" spans="1:14" x14ac:dyDescent="0.35">
      <c r="A17" t="s">
        <v>143</v>
      </c>
      <c r="E17" t="s">
        <v>155</v>
      </c>
      <c r="F17" t="str">
        <f t="shared" si="0"/>
        <v>TR_ES_OTH</v>
      </c>
      <c r="G17" t="str">
        <f t="shared" si="1"/>
        <v>Other [TIMESreport service]</v>
      </c>
      <c r="H17" t="s">
        <v>13</v>
      </c>
      <c r="I17" t="s">
        <v>13</v>
      </c>
      <c r="L17" t="s">
        <v>152</v>
      </c>
      <c r="M17" t="s">
        <v>149</v>
      </c>
      <c r="N17" t="s">
        <v>120</v>
      </c>
    </row>
    <row r="18" spans="1:14" x14ac:dyDescent="0.35">
      <c r="A18" t="s">
        <v>143</v>
      </c>
      <c r="E18" t="s">
        <v>150</v>
      </c>
      <c r="F18" t="str">
        <f t="shared" ref="F18:F20" si="2">L18</f>
        <v>TR_ES_SP</v>
      </c>
      <c r="G18" t="str">
        <f t="shared" ref="G18:G20" si="3">M18&amp;" [TIMESreport "&amp;N18&amp;"]"</f>
        <v>Space heating [TIMESreport service]</v>
      </c>
      <c r="H18" t="s">
        <v>13</v>
      </c>
      <c r="I18" t="s">
        <v>13</v>
      </c>
      <c r="L18" t="s">
        <v>154</v>
      </c>
      <c r="M18" t="s">
        <v>147</v>
      </c>
      <c r="N18" t="s">
        <v>120</v>
      </c>
    </row>
    <row r="19" spans="1:14" x14ac:dyDescent="0.35">
      <c r="A19" t="s">
        <v>143</v>
      </c>
      <c r="E19" t="s">
        <v>151</v>
      </c>
      <c r="F19" t="str">
        <f t="shared" si="2"/>
        <v>TR_ES_APP</v>
      </c>
      <c r="G19" t="str">
        <f t="shared" si="3"/>
        <v>Appliances [TIMESreport service]</v>
      </c>
      <c r="H19" t="s">
        <v>13</v>
      </c>
      <c r="I19" t="s">
        <v>13</v>
      </c>
      <c r="L19" t="s">
        <v>153</v>
      </c>
      <c r="M19" t="s">
        <v>148</v>
      </c>
      <c r="N19" t="s">
        <v>120</v>
      </c>
    </row>
    <row r="20" spans="1:14" x14ac:dyDescent="0.35">
      <c r="A20" t="s">
        <v>143</v>
      </c>
      <c r="E20" t="s">
        <v>178</v>
      </c>
      <c r="F20" t="str">
        <f t="shared" si="2"/>
        <v>TR_ES_TR</v>
      </c>
      <c r="G20" t="str">
        <f t="shared" si="3"/>
        <v>Transport [TIMESreport service]</v>
      </c>
      <c r="H20" t="s">
        <v>13</v>
      </c>
      <c r="I20" t="s">
        <v>13</v>
      </c>
      <c r="L20" t="s">
        <v>176</v>
      </c>
      <c r="M20" t="s">
        <v>177</v>
      </c>
      <c r="N20" t="s">
        <v>120</v>
      </c>
    </row>
    <row r="21" spans="1:14" x14ac:dyDescent="0.35">
      <c r="B21" t="s">
        <v>157</v>
      </c>
      <c r="F21" t="str">
        <f t="shared" ref="F21:F22" si="4">L21</f>
        <v>TR_STEEL</v>
      </c>
      <c r="G21" t="str">
        <f t="shared" ref="G21:G22" si="5">M21&amp;" [TIMESreport "&amp;N21&amp;"]"</f>
        <v>Iron&amp;Stell [TIMESreport subsector]</v>
      </c>
      <c r="H21" t="s">
        <v>13</v>
      </c>
      <c r="I21" t="s">
        <v>13</v>
      </c>
      <c r="L21" t="s">
        <v>158</v>
      </c>
      <c r="M21" t="s">
        <v>156</v>
      </c>
      <c r="N21" t="s">
        <v>121</v>
      </c>
    </row>
    <row r="22" spans="1:14" x14ac:dyDescent="0.35">
      <c r="A22" t="s">
        <v>143</v>
      </c>
      <c r="B22" t="s">
        <v>172</v>
      </c>
      <c r="F22" t="str">
        <f t="shared" si="4"/>
        <v>TR_TRAPUB</v>
      </c>
      <c r="G22" t="str">
        <f t="shared" si="5"/>
        <v>Public Transport [TIMESreport subsector]</v>
      </c>
      <c r="H22" t="s">
        <v>13</v>
      </c>
      <c r="I22" t="s">
        <v>13</v>
      </c>
      <c r="L22" t="s">
        <v>170</v>
      </c>
      <c r="M22" t="s">
        <v>171</v>
      </c>
      <c r="N22" t="s">
        <v>121</v>
      </c>
    </row>
    <row r="23" spans="1:14" x14ac:dyDescent="0.35">
      <c r="A23" t="s">
        <v>143</v>
      </c>
      <c r="B23" t="s">
        <v>173</v>
      </c>
      <c r="F23" t="str">
        <f t="shared" ref="F23" si="6">L23</f>
        <v>TR_TRACAR</v>
      </c>
      <c r="G23" t="str">
        <f t="shared" ref="G23" si="7">M23&amp;" [TIMESreport "&amp;N23&amp;"]"</f>
        <v>Car transport [TIMESreport subsector]</v>
      </c>
      <c r="H23" t="s">
        <v>13</v>
      </c>
      <c r="I23" t="s">
        <v>13</v>
      </c>
      <c r="L23" t="s">
        <v>175</v>
      </c>
      <c r="M23" t="s">
        <v>174</v>
      </c>
      <c r="N23" t="s">
        <v>121</v>
      </c>
    </row>
    <row r="24" spans="1:14" x14ac:dyDescent="0.35">
      <c r="B24" t="s">
        <v>157</v>
      </c>
      <c r="F24" t="str">
        <f t="shared" ref="F24:F27" si="8">L24</f>
        <v>Mt-y</v>
      </c>
      <c r="G24" t="str">
        <f t="shared" ref="G24:G26" si="9">M24&amp;" [TIMESreport "&amp;N24&amp;"]"</f>
        <v>Million ton a year [TIMESreport capacityunit]</v>
      </c>
      <c r="H24" t="s">
        <v>13</v>
      </c>
      <c r="I24" t="s">
        <v>13</v>
      </c>
      <c r="L24" t="s">
        <v>162</v>
      </c>
      <c r="M24" t="s">
        <v>163</v>
      </c>
      <c r="N24" t="s">
        <v>179</v>
      </c>
    </row>
    <row r="25" spans="1:14" x14ac:dyDescent="0.35">
      <c r="A25" t="s">
        <v>184</v>
      </c>
      <c r="B25" s="5" t="s">
        <v>183</v>
      </c>
      <c r="F25" t="str">
        <f t="shared" si="8"/>
        <v>PJa</v>
      </c>
      <c r="G25" t="str">
        <f t="shared" si="9"/>
        <v>PJ annually [TIMESreport capacityunit]</v>
      </c>
      <c r="H25" t="s">
        <v>13</v>
      </c>
      <c r="I25" t="s">
        <v>13</v>
      </c>
      <c r="L25" t="s">
        <v>180</v>
      </c>
      <c r="M25" t="s">
        <v>181</v>
      </c>
      <c r="N25" t="s">
        <v>179</v>
      </c>
    </row>
    <row r="26" spans="1:14" x14ac:dyDescent="0.35">
      <c r="A26" t="s">
        <v>130</v>
      </c>
      <c r="F26" t="str">
        <f t="shared" si="8"/>
        <v>GW</v>
      </c>
      <c r="G26" t="str">
        <f t="shared" si="9"/>
        <v>GW [TIMESreport capacityunit]</v>
      </c>
      <c r="H26" t="s">
        <v>13</v>
      </c>
      <c r="I26" t="s">
        <v>13</v>
      </c>
      <c r="L26" t="s">
        <v>182</v>
      </c>
      <c r="M26" t="s">
        <v>182</v>
      </c>
      <c r="N26" t="s">
        <v>179</v>
      </c>
    </row>
    <row r="27" spans="1:14" x14ac:dyDescent="0.35">
      <c r="A27" t="s">
        <v>138</v>
      </c>
      <c r="F27" t="str">
        <f t="shared" si="8"/>
        <v>000_Units</v>
      </c>
      <c r="G27" t="str">
        <f t="shared" ref="G27" si="10">M27&amp;" [TIMESreport "&amp;N27&amp;"]"</f>
        <v>1000 units [TIMESreport capacityunit]</v>
      </c>
      <c r="H27" t="s">
        <v>13</v>
      </c>
      <c r="I27" t="s">
        <v>13</v>
      </c>
      <c r="L27" t="s">
        <v>185</v>
      </c>
      <c r="M27" t="s">
        <v>186</v>
      </c>
      <c r="N2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VEDA_Sets-Comm</vt:lpstr>
      <vt:lpstr>VEDA_Sets-Proc</vt:lpstr>
      <vt:lpstr>TIMESreport_Sets-Comm</vt:lpstr>
      <vt:lpstr>TIMESreport_Sets-Proc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Miguel Chang</cp:lastModifiedBy>
  <dcterms:created xsi:type="dcterms:W3CDTF">2020-06-02T08:50:42Z</dcterms:created>
  <dcterms:modified xsi:type="dcterms:W3CDTF">2025-03-20T14:01:04Z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687954127788543</vt:r8>
  </property>
</Properties>
</file>