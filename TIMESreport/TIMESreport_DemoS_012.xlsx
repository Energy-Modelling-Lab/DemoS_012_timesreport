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C:\kristoffer\DemoS_012_timesreport\TIMESreport\"/>
    </mc:Choice>
  </mc:AlternateContent>
  <xr:revisionPtr revIDLastSave="0" documentId="13_ncr:1_{6D57AE3F-9ACF-4F06-A8B3-A4ADB82B4147}" xr6:coauthVersionLast="47" xr6:coauthVersionMax="47" xr10:uidLastSave="{00000000-0000-0000-0000-000000000000}"/>
  <bookViews>
    <workbookView xWindow="13545" yWindow="10110" windowWidth="19440" windowHeight="6465" activeTab="3" xr2:uid="{2E6AACB1-26D6-4C75-A0CD-213FD1507346}"/>
  </bookViews>
  <sheets>
    <sheet name="RefreshDataHowTo" sheetId="13" r:id="rId1"/>
    <sheet name="ObjectiveValue" sheetId="4" r:id="rId2"/>
    <sheet name="Emission" sheetId="1" r:id="rId3"/>
    <sheet name="Electricity" sheetId="11" r:id="rId4"/>
    <sheet name="LevelizedCost" sheetId="6" r:id="rId5"/>
  </sheets>
  <definedNames>
    <definedName name="filename">RefreshDataHowTo!$C$8</definedName>
    <definedName name="Slicer_year">#N/A</definedName>
  </definedNames>
  <calcPr calcId="191029"/>
  <pivotCaches>
    <pivotCache cacheId="108" r:id="rId6"/>
    <pivotCache cacheId="111" r:id="rId7"/>
    <pivotCache cacheId="114" r:id="rId8"/>
    <pivotCache cacheId="117" r:id="rId9"/>
  </pivotCaches>
  <extLst>
    <ext xmlns:x14="http://schemas.microsoft.com/office/spreadsheetml/2009/9/main" uri="{876F7934-8845-4945-9796-88D515C7AA90}">
      <x14:pivotCaches>
        <pivotCache cacheId="118"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pare_com_desc  2_0f3739f3-1850-4870-bcc1-6adbcfc1b4e8" name="compare_com_desc  2" connection="Query - compare_com_desc (2)"/>
          <x15:modelTable id="DemoS_012_report" name="DemoS_012_report" connection="DemoS_012_report"/>
        </x15:modelTables>
        <x15:modelRelationships>
          <x15:modelRelationship fromTable="DemoS_012_report" fromColumn="com" toTable="compare_com_desc  2" toColumn="com"/>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88AD40-5A9B-4BBD-A545-755A41EFE307}" name="DemoS_012_report" type="103" refreshedVersion="8" minRefreshableVersion="5">
    <extLst>
      <ext xmlns:x15="http://schemas.microsoft.com/office/spreadsheetml/2010/11/main" uri="{DE250136-89BD-433C-8126-D09CA5730AF9}">
        <x15:connection id="DemoS_012_report" autoDelete="1">
          <x15:textPr codePage="437" sourceFile="C:\kristoffer\DemoS_012_timesreport\TIMESreport\compare_timesreport.csv" tab="0" comma="1">
            <textFields count="13">
              <textField/>
              <textField/>
              <textField/>
              <textField/>
              <textField/>
              <textField/>
              <textField/>
              <textField/>
              <textField/>
              <textField/>
              <textField/>
              <textField/>
              <textField/>
            </textFields>
          </x15:textPr>
          <x15:modelTextPr headers="1"/>
        </x15:connection>
      </ext>
    </extLst>
  </connection>
  <connection id="2" xr16:uid="{BEAB472D-D357-48AA-BA38-90994A96B0DF}" name="Query - compare_com_desc (2)" description="Connection to the 'compare_com_desc (2)' query in the workbook." type="100" refreshedVersion="8" minRefreshableVersion="5">
    <extLst>
      <ext xmlns:x15="http://schemas.microsoft.com/office/spreadsheetml/2010/11/main" uri="{DE250136-89BD-433C-8126-D09CA5730AF9}">
        <x15:connection id="c05aa543-4685-4f0a-8bf0-5c38d567e638"/>
      </ext>
    </extLst>
  </connection>
  <connection id="3" xr16:uid="{72957C13-89D6-4221-9E66-6D511942B4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13">
    <s v="ThisWorkbookDataModel"/>
    <s v="{[DemoS_012_report].[attr].&amp;[levc]}"/>
    <s v="{[DemoS_012_report].[attr].&amp;[fout]}"/>
    <s v="{[DemoS_012_report].[year].&amp;[2030]}"/>
    <s v="{[DemoS_012_report].[units].[All]}"/>
    <s v="{[DemoS_012_report].[subsector].[All]}"/>
    <s v="{[DemoS_012_report].[scen].[All]}"/>
    <s v="{[DemoS_012_report].[topic].[All]}"/>
    <s v="{[DemoS_012_report].[sector].&amp;[SYS]}"/>
    <s v="{[DemoS_012_report].[service].[All]}"/>
    <s v="{[DemoS_012_report].[sector].&amp;[TR_ELE]}"/>
    <s v="{[DemoS_012_report].[regionFrom].&amp;[REG1],[DemoS_012_report].[regionFrom].&amp;[REG2]}"/>
    <s v="{[DemoS_012_report].[prc].&amp;[ELCTNGAS01]}"/>
  </metadataStrings>
  <mdxMetadata count="12">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Metadata>
  <futureMetadata name="XLRICHVALUE" count="2">
    <bk>
      <extLst>
        <ext uri="{3e2802c4-a4d2-4d8b-9148-e3be6c30e623}">
          <xlrd:rvb i="0"/>
        </ext>
      </extLst>
    </bk>
    <bk>
      <extLst>
        <ext uri="{3e2802c4-a4d2-4d8b-9148-e3be6c30e623}">
          <xlrd:rvb i="1"/>
        </ext>
      </extLst>
    </bk>
  </futureMetadata>
  <valueMetadata count="14">
    <bk>
      <rc t="1" v="0"/>
    </bk>
    <bk>
      <rc t="1" v="1"/>
    </bk>
    <bk>
      <rc t="1" v="2"/>
    </bk>
    <bk>
      <rc t="1" v="3"/>
    </bk>
    <bk>
      <rc t="1" v="4"/>
    </bk>
    <bk>
      <rc t="1" v="5"/>
    </bk>
    <bk>
      <rc t="1" v="6"/>
    </bk>
    <bk>
      <rc t="1" v="7"/>
    </bk>
    <bk>
      <rc t="1" v="8"/>
    </bk>
    <bk>
      <rc t="1" v="9"/>
    </bk>
    <bk>
      <rc t="1" v="10"/>
    </bk>
    <bk>
      <rc t="1" v="11"/>
    </bk>
    <bk>
      <rc t="2" v="0"/>
    </bk>
    <bk>
      <rc t="2" v="1"/>
    </bk>
  </valueMetadata>
</metadata>
</file>

<file path=xl/sharedStrings.xml><?xml version="1.0" encoding="utf-8"?>
<sst xmlns="http://schemas.openxmlformats.org/spreadsheetml/2006/main" count="187" uniqueCount="63">
  <si>
    <t>Row Labels</t>
  </si>
  <si>
    <t>Grand Total</t>
  </si>
  <si>
    <t>Sum of value</t>
  </si>
  <si>
    <t>fout</t>
  </si>
  <si>
    <t>f_in</t>
  </si>
  <si>
    <t>MEuro05</t>
  </si>
  <si>
    <t>Column Labels</t>
  </si>
  <si>
    <t>emission</t>
  </si>
  <si>
    <t>kt</t>
  </si>
  <si>
    <t>sector</t>
  </si>
  <si>
    <t>objfix</t>
  </si>
  <si>
    <t>objinv</t>
  </si>
  <si>
    <t>objsal</t>
  </si>
  <si>
    <t>objvar</t>
  </si>
  <si>
    <t>units</t>
  </si>
  <si>
    <t>All</t>
  </si>
  <si>
    <t>attr</t>
  </si>
  <si>
    <t>capacity</t>
  </si>
  <si>
    <t>levc</t>
  </si>
  <si>
    <t>topic</t>
  </si>
  <si>
    <t>(Multiple Items)</t>
  </si>
  <si>
    <t>year</t>
  </si>
  <si>
    <t>2030</t>
  </si>
  <si>
    <t>energy</t>
  </si>
  <si>
    <t>lumpsum</t>
  </si>
  <si>
    <t>cap_</t>
  </si>
  <si>
    <t>ncap</t>
  </si>
  <si>
    <t>actc</t>
  </si>
  <si>
    <t>fixc</t>
  </si>
  <si>
    <t>invc</t>
  </si>
  <si>
    <t>inv_</t>
  </si>
  <si>
    <t>REG1</t>
  </si>
  <si>
    <t>floc</t>
  </si>
  <si>
    <t>REG2</t>
  </si>
  <si>
    <t>demos_012_TIMESreport</t>
  </si>
  <si>
    <t>#2 Press "Refresh All" using the following path when prompted:</t>
  </si>
  <si>
    <t>How to update the TIMESreport csv file</t>
  </si>
  <si>
    <t>#1 Go to Data in the Ribbon (above)</t>
  </si>
  <si>
    <t>pj</t>
  </si>
  <si>
    <t>NA</t>
  </si>
  <si>
    <t>TR_ELE</t>
  </si>
  <si>
    <t>subsector</t>
  </si>
  <si>
    <t>scen</t>
  </si>
  <si>
    <t>actl</t>
  </si>
  <si>
    <t>apri</t>
  </si>
  <si>
    <t>flor</t>
  </si>
  <si>
    <t>SYS</t>
  </si>
  <si>
    <t>service</t>
  </si>
  <si>
    <t>AGRCO2</t>
  </si>
  <si>
    <t>COMCO2</t>
  </si>
  <si>
    <t>ELCCO2</t>
  </si>
  <si>
    <t>INDCO2</t>
  </si>
  <si>
    <t>RSDCO2</t>
  </si>
  <si>
    <t>TRACO2</t>
  </si>
  <si>
    <t>regionFrom</t>
  </si>
  <si>
    <t>prc</t>
  </si>
  <si>
    <t>ELCTNGAS01</t>
  </si>
  <si>
    <t>mw</t>
  </si>
  <si>
    <t>costs</t>
  </si>
  <si>
    <t>prices</t>
  </si>
  <si>
    <t>demos_012a_TIMESreport</t>
  </si>
  <si>
    <t>DEMOS_012</t>
  </si>
  <si>
    <t>DEMOS_012A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</si>
</sst>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 fontId="0" fillId="0" borderId="0" xfId="0" applyNumberFormat="1"/>
    <xf numFmtId="0" fontId="0" fillId="2" borderId="0" xfId="0" applyFill="1"/>
    <xf numFmtId="0" fontId="1" fillId="2" borderId="0" xfId="0" applyFont="1" applyFill="1"/>
    <xf numFmtId="0" fontId="2" fillId="2" borderId="0" xfId="0" applyFont="1" applyFill="1"/>
    <xf numFmtId="0" fontId="2" fillId="2" borderId="0" xfId="0" applyFont="1" applyFill="1" applyAlignment="1">
      <alignment vertical="top" wrapText="1"/>
    </xf>
    <xf numFmtId="0" fontId="0" fillId="2" borderId="0" xfId="0" applyFill="1" applyAlignment="1">
      <alignment horizontal="right" vertical="center"/>
    </xf>
    <xf numFmtId="0" fontId="2" fillId="2" borderId="0" xfId="0" applyFont="1" applyFill="1" applyAlignment="1">
      <alignment vertical="center"/>
    </xf>
    <xf numFmtId="0" fontId="0" fillId="2" borderId="0" xfId="0"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06/relationships/rdRichValue" Target="richData/rdrichvalue.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microsoft.com/office/2017/06/relationships/rdRichValueStructure" Target="richData/rdrichvaluestructure.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theme" Target="theme/theme1.xml"/><Relationship Id="rId17" Type="http://schemas.microsoft.com/office/2022/10/relationships/richValueRel" Target="richData/richValueRel.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[TIMESreport_DemoS_012.xlsx]ObjectiveValue!PivotTable2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ObjectiveValue!$B$6:$B$8</c:f>
              <c:strCache>
                <c:ptCount val="1"/>
                <c:pt idx="0">
                  <c:v>2005 - objinv</c:v>
                </c:pt>
              </c:strCache>
            </c:strRef>
          </c:tx>
          <c:spPr>
            <a:solidFill>
              <a:schemeClr val="accent1"/>
            </a:solidFill>
            <a:ln>
              <a:noFill/>
            </a:ln>
            <a:effectLst/>
          </c:spPr>
          <c:invertIfNegative val="0"/>
          <c:cat>
            <c:strRef>
              <c:f>ObjectiveValue!$A$9:$A$10</c:f>
              <c:strCache>
                <c:ptCount val="2"/>
                <c:pt idx="0">
                  <c:v>demos_012_TIMESreport</c:v>
                </c:pt>
                <c:pt idx="1">
                  <c:v>demos_012a_TIMESreport</c:v>
                </c:pt>
              </c:strCache>
            </c:strRef>
          </c:cat>
          <c:val>
            <c:numRef>
              <c:f>ObjectiveValue!$B$9:$B$10</c:f>
              <c:numCache>
                <c:formatCode>0</c:formatCode>
                <c:ptCount val="2"/>
                <c:pt idx="0">
                  <c:v>34121262.542000338</c:v>
                </c:pt>
                <c:pt idx="1">
                  <c:v>40271845.698383585</c:v>
                </c:pt>
              </c:numCache>
            </c:numRef>
          </c:val>
          <c:extLst>
            <c:ext xmlns:c16="http://schemas.microsoft.com/office/drawing/2014/chart" uri="{C3380CC4-5D6E-409C-BE32-E72D297353CC}">
              <c16:uniqueId val="{00000000-CD18-4C84-AB67-16C92A36CFC3}"/>
            </c:ext>
          </c:extLst>
        </c:ser>
        <c:ser>
          <c:idx val="1"/>
          <c:order val="1"/>
          <c:tx>
            <c:strRef>
              <c:f>ObjectiveValue!$C$6:$C$8</c:f>
              <c:strCache>
                <c:ptCount val="1"/>
                <c:pt idx="0">
                  <c:v>2005 - objfix</c:v>
                </c:pt>
              </c:strCache>
            </c:strRef>
          </c:tx>
          <c:spPr>
            <a:solidFill>
              <a:schemeClr val="accent2"/>
            </a:solidFill>
            <a:ln>
              <a:noFill/>
            </a:ln>
            <a:effectLst/>
          </c:spPr>
          <c:invertIfNegative val="0"/>
          <c:cat>
            <c:strRef>
              <c:f>ObjectiveValue!$A$9:$A$10</c:f>
              <c:strCache>
                <c:ptCount val="2"/>
                <c:pt idx="0">
                  <c:v>demos_012_TIMESreport</c:v>
                </c:pt>
                <c:pt idx="1">
                  <c:v>demos_012a_TIMESreport</c:v>
                </c:pt>
              </c:strCache>
            </c:strRef>
          </c:cat>
          <c:val>
            <c:numRef>
              <c:f>ObjectiveValue!$C$9:$C$10</c:f>
              <c:numCache>
                <c:formatCode>0</c:formatCode>
                <c:ptCount val="2"/>
                <c:pt idx="0">
                  <c:v>4084256.630821656</c:v>
                </c:pt>
                <c:pt idx="1">
                  <c:v>4158550.5119921742</c:v>
                </c:pt>
              </c:numCache>
            </c:numRef>
          </c:val>
          <c:extLst>
            <c:ext xmlns:c16="http://schemas.microsoft.com/office/drawing/2014/chart" uri="{C3380CC4-5D6E-409C-BE32-E72D297353CC}">
              <c16:uniqueId val="{00000001-CD18-4C84-AB67-16C92A36CFC3}"/>
            </c:ext>
          </c:extLst>
        </c:ser>
        <c:ser>
          <c:idx val="2"/>
          <c:order val="2"/>
          <c:tx>
            <c:strRef>
              <c:f>ObjectiveValue!$D$6:$D$8</c:f>
              <c:strCache>
                <c:ptCount val="1"/>
                <c:pt idx="0">
                  <c:v>2005 - objvar</c:v>
                </c:pt>
              </c:strCache>
            </c:strRef>
          </c:tx>
          <c:spPr>
            <a:solidFill>
              <a:schemeClr val="accent3"/>
            </a:solidFill>
            <a:ln>
              <a:noFill/>
            </a:ln>
            <a:effectLst/>
          </c:spPr>
          <c:invertIfNegative val="0"/>
          <c:cat>
            <c:strRef>
              <c:f>ObjectiveValue!$A$9:$A$10</c:f>
              <c:strCache>
                <c:ptCount val="2"/>
                <c:pt idx="0">
                  <c:v>demos_012_TIMESreport</c:v>
                </c:pt>
                <c:pt idx="1">
                  <c:v>demos_012a_TIMESreport</c:v>
                </c:pt>
              </c:strCache>
            </c:strRef>
          </c:cat>
          <c:val>
            <c:numRef>
              <c:f>ObjectiveValue!$D$9:$D$10</c:f>
              <c:numCache>
                <c:formatCode>0</c:formatCode>
                <c:ptCount val="2"/>
                <c:pt idx="0">
                  <c:v>82612754.595121205</c:v>
                </c:pt>
                <c:pt idx="1">
                  <c:v>80056616.876212195</c:v>
                </c:pt>
              </c:numCache>
            </c:numRef>
          </c:val>
          <c:extLst>
            <c:ext xmlns:c16="http://schemas.microsoft.com/office/drawing/2014/chart" uri="{C3380CC4-5D6E-409C-BE32-E72D297353CC}">
              <c16:uniqueId val="{00000002-CD18-4C84-AB67-16C92A36CFC3}"/>
            </c:ext>
          </c:extLst>
        </c:ser>
        <c:ser>
          <c:idx val="3"/>
          <c:order val="3"/>
          <c:tx>
            <c:strRef>
              <c:f>ObjectiveValue!$E$6:$E$8</c:f>
              <c:strCache>
                <c:ptCount val="1"/>
                <c:pt idx="0">
                  <c:v>2005 - objsal</c:v>
                </c:pt>
              </c:strCache>
            </c:strRef>
          </c:tx>
          <c:spPr>
            <a:solidFill>
              <a:schemeClr val="accent4"/>
            </a:solidFill>
            <a:ln>
              <a:noFill/>
            </a:ln>
            <a:effectLst/>
          </c:spPr>
          <c:invertIfNegative val="0"/>
          <c:cat>
            <c:strRef>
              <c:f>ObjectiveValue!$A$9:$A$10</c:f>
              <c:strCache>
                <c:ptCount val="2"/>
                <c:pt idx="0">
                  <c:v>demos_012_TIMESreport</c:v>
                </c:pt>
                <c:pt idx="1">
                  <c:v>demos_012a_TIMESreport</c:v>
                </c:pt>
              </c:strCache>
            </c:strRef>
          </c:cat>
          <c:val>
            <c:numRef>
              <c:f>ObjectiveValue!$E$9:$E$10</c:f>
              <c:numCache>
                <c:formatCode>0</c:formatCode>
                <c:ptCount val="2"/>
                <c:pt idx="0">
                  <c:v>0</c:v>
                </c:pt>
                <c:pt idx="1">
                  <c:v>0</c:v>
                </c:pt>
              </c:numCache>
            </c:numRef>
          </c:val>
          <c:extLst>
            <c:ext xmlns:c16="http://schemas.microsoft.com/office/drawing/2014/chart" uri="{C3380CC4-5D6E-409C-BE32-E72D297353CC}">
              <c16:uniqueId val="{00000003-CD18-4C84-AB67-16C92A36CFC3}"/>
            </c:ext>
          </c:extLst>
        </c:ser>
        <c:dLbls>
          <c:showLegendKey val="0"/>
          <c:showVal val="0"/>
          <c:showCatName val="0"/>
          <c:showSerName val="0"/>
          <c:showPercent val="0"/>
          <c:showBubbleSize val="0"/>
        </c:dLbls>
        <c:gapWidth val="219"/>
        <c:overlap val="100"/>
        <c:axId val="1206830047"/>
        <c:axId val="1206823807"/>
      </c:barChart>
      <c:catAx>
        <c:axId val="120683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206823807"/>
        <c:crosses val="autoZero"/>
        <c:auto val="1"/>
        <c:lblAlgn val="ctr"/>
        <c:lblOffset val="100"/>
        <c:noMultiLvlLbl val="0"/>
      </c:catAx>
      <c:valAx>
        <c:axId val="120682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120683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[TIMESreport_DemoS_012.xlsx]Emission!PivotTable1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44836726156758E-2"/>
          <c:y val="8.5279565563079376E-2"/>
          <c:w val="0.86499672378752379"/>
          <c:h val="0.74706528979096321"/>
        </c:manualLayout>
      </c:layout>
      <c:barChart>
        <c:barDir val="col"/>
        <c:grouping val="clustered"/>
        <c:varyColors val="0"/>
        <c:ser>
          <c:idx val="0"/>
          <c:order val="0"/>
          <c:tx>
            <c:strRef>
              <c:f>Emission!$B$5:$B$7</c:f>
              <c:strCache>
                <c:ptCount val="1"/>
                <c:pt idx="0">
                  <c:v>kt - DEMOS_012</c:v>
                </c:pt>
              </c:strCache>
            </c:strRef>
          </c:tx>
          <c:spPr>
            <a:solidFill>
              <a:schemeClr val="accent1"/>
            </a:solidFill>
            <a:ln>
              <a:noFill/>
            </a:ln>
            <a:effectLst/>
          </c:spPr>
          <c:invertIfNegative val="0"/>
          <c:cat>
            <c:multiLvlStrRef>
              <c:f>Emission!$A$8:$A$79</c:f>
              <c:multiLvlStrCache>
                <c:ptCount val="66"/>
                <c:lvl>
                  <c:pt idx="0">
                    <c:v>2005</c:v>
                  </c:pt>
                  <c:pt idx="1">
                    <c:v>2006</c:v>
                  </c:pt>
                  <c:pt idx="2">
                    <c:v>2010</c:v>
                  </c:pt>
                  <c:pt idx="3">
                    <c:v>2015</c:v>
                  </c:pt>
                  <c:pt idx="4">
                    <c:v>2020</c:v>
                  </c:pt>
                  <c:pt idx="5">
                    <c:v>2025</c:v>
                  </c:pt>
                  <c:pt idx="6">
                    <c:v>2030</c:v>
                  </c:pt>
                  <c:pt idx="7">
                    <c:v>2035</c:v>
                  </c:pt>
                  <c:pt idx="8">
                    <c:v>2040</c:v>
                  </c:pt>
                  <c:pt idx="9">
                    <c:v>2045</c:v>
                  </c:pt>
                  <c:pt idx="10">
                    <c:v>2050</c:v>
                  </c:pt>
                  <c:pt idx="11">
                    <c:v>2005</c:v>
                  </c:pt>
                  <c:pt idx="12">
                    <c:v>2006</c:v>
                  </c:pt>
                  <c:pt idx="13">
                    <c:v>2010</c:v>
                  </c:pt>
                  <c:pt idx="14">
                    <c:v>2015</c:v>
                  </c:pt>
                  <c:pt idx="15">
                    <c:v>2020</c:v>
                  </c:pt>
                  <c:pt idx="16">
                    <c:v>2025</c:v>
                  </c:pt>
                  <c:pt idx="17">
                    <c:v>2030</c:v>
                  </c:pt>
                  <c:pt idx="18">
                    <c:v>2035</c:v>
                  </c:pt>
                  <c:pt idx="19">
                    <c:v>2040</c:v>
                  </c:pt>
                  <c:pt idx="20">
                    <c:v>2045</c:v>
                  </c:pt>
                  <c:pt idx="21">
                    <c:v>2050</c:v>
                  </c:pt>
                  <c:pt idx="22">
                    <c:v>2005</c:v>
                  </c:pt>
                  <c:pt idx="23">
                    <c:v>2006</c:v>
                  </c:pt>
                  <c:pt idx="24">
                    <c:v>2010</c:v>
                  </c:pt>
                  <c:pt idx="25">
                    <c:v>2015</c:v>
                  </c:pt>
                  <c:pt idx="26">
                    <c:v>2020</c:v>
                  </c:pt>
                  <c:pt idx="27">
                    <c:v>2025</c:v>
                  </c:pt>
                  <c:pt idx="28">
                    <c:v>2030</c:v>
                  </c:pt>
                  <c:pt idx="29">
                    <c:v>2035</c:v>
                  </c:pt>
                  <c:pt idx="30">
                    <c:v>2040</c:v>
                  </c:pt>
                  <c:pt idx="31">
                    <c:v>2045</c:v>
                  </c:pt>
                  <c:pt idx="32">
                    <c:v>2050</c:v>
                  </c:pt>
                  <c:pt idx="33">
                    <c:v>2005</c:v>
                  </c:pt>
                  <c:pt idx="34">
                    <c:v>2006</c:v>
                  </c:pt>
                  <c:pt idx="35">
                    <c:v>2010</c:v>
                  </c:pt>
                  <c:pt idx="36">
                    <c:v>2015</c:v>
                  </c:pt>
                  <c:pt idx="37">
                    <c:v>2020</c:v>
                  </c:pt>
                  <c:pt idx="38">
                    <c:v>2025</c:v>
                  </c:pt>
                  <c:pt idx="39">
                    <c:v>2030</c:v>
                  </c:pt>
                  <c:pt idx="40">
                    <c:v>2035</c:v>
                  </c:pt>
                  <c:pt idx="41">
                    <c:v>2040</c:v>
                  </c:pt>
                  <c:pt idx="42">
                    <c:v>2045</c:v>
                  </c:pt>
                  <c:pt idx="43">
                    <c:v>2050</c:v>
                  </c:pt>
                  <c:pt idx="44">
                    <c:v>2005</c:v>
                  </c:pt>
                  <c:pt idx="45">
                    <c:v>2006</c:v>
                  </c:pt>
                  <c:pt idx="46">
                    <c:v>2010</c:v>
                  </c:pt>
                  <c:pt idx="47">
                    <c:v>2015</c:v>
                  </c:pt>
                  <c:pt idx="48">
                    <c:v>2020</c:v>
                  </c:pt>
                  <c:pt idx="49">
                    <c:v>2025</c:v>
                  </c:pt>
                  <c:pt idx="50">
                    <c:v>2030</c:v>
                  </c:pt>
                  <c:pt idx="51">
                    <c:v>2035</c:v>
                  </c:pt>
                  <c:pt idx="52">
                    <c:v>2040</c:v>
                  </c:pt>
                  <c:pt idx="53">
                    <c:v>2045</c:v>
                  </c:pt>
                  <c:pt idx="54">
                    <c:v>2050</c:v>
                  </c:pt>
                  <c:pt idx="55">
                    <c:v>2005</c:v>
                  </c:pt>
                  <c:pt idx="56">
                    <c:v>2006</c:v>
                  </c:pt>
                  <c:pt idx="57">
                    <c:v>2010</c:v>
                  </c:pt>
                  <c:pt idx="58">
                    <c:v>2015</c:v>
                  </c:pt>
                  <c:pt idx="59">
                    <c:v>2020</c:v>
                  </c:pt>
                  <c:pt idx="60">
                    <c:v>2025</c:v>
                  </c:pt>
                  <c:pt idx="61">
                    <c:v>2030</c:v>
                  </c:pt>
                  <c:pt idx="62">
                    <c:v>2035</c:v>
                  </c:pt>
                  <c:pt idx="63">
                    <c:v>2040</c:v>
                  </c:pt>
                  <c:pt idx="64">
                    <c:v>2045</c:v>
                  </c:pt>
                  <c:pt idx="65">
                    <c:v>2050</c:v>
                  </c:pt>
                </c:lvl>
                <c:lvl>
                  <c:pt idx="0">
                    <c:v>AGRCO2</c:v>
                  </c:pt>
                  <c:pt idx="11">
                    <c:v>COMCO2</c:v>
                  </c:pt>
                  <c:pt idx="22">
                    <c:v>ELCCO2</c:v>
                  </c:pt>
                  <c:pt idx="33">
                    <c:v>INDCO2</c:v>
                  </c:pt>
                  <c:pt idx="44">
                    <c:v>RSDCO2</c:v>
                  </c:pt>
                  <c:pt idx="55">
                    <c:v>TRACO2</c:v>
                  </c:pt>
                </c:lvl>
              </c:multiLvlStrCache>
            </c:multiLvlStrRef>
          </c:cat>
          <c:val>
            <c:numRef>
              <c:f>Emission!$B$8:$B$79</c:f>
              <c:numCache>
                <c:formatCode>0</c:formatCode>
                <c:ptCount val="66"/>
                <c:pt idx="0">
                  <c:v>36156.131297436601</c:v>
                </c:pt>
                <c:pt idx="1">
                  <c:v>37785.616716295001</c:v>
                </c:pt>
                <c:pt idx="2">
                  <c:v>45104.550364934097</c:v>
                </c:pt>
                <c:pt idx="3">
                  <c:v>56370.052943859402</c:v>
                </c:pt>
                <c:pt idx="4">
                  <c:v>70577.103687727795</c:v>
                </c:pt>
                <c:pt idx="5">
                  <c:v>88523.655830069198</c:v>
                </c:pt>
                <c:pt idx="6">
                  <c:v>92611.213338021305</c:v>
                </c:pt>
                <c:pt idx="7">
                  <c:v>96848.757779093197</c:v>
                </c:pt>
                <c:pt idx="8">
                  <c:v>101241.257537249</c:v>
                </c:pt>
                <c:pt idx="9">
                  <c:v>105793.83627676161</c:v>
                </c:pt>
                <c:pt idx="10">
                  <c:v>110511.7776162825</c:v>
                </c:pt>
                <c:pt idx="11">
                  <c:v>192912.61058740012</c:v>
                </c:pt>
                <c:pt idx="12">
                  <c:v>207228.46018103292</c:v>
                </c:pt>
                <c:pt idx="13">
                  <c:v>248369.34567063442</c:v>
                </c:pt>
                <c:pt idx="14">
                  <c:v>333933.6748099362</c:v>
                </c:pt>
                <c:pt idx="15">
                  <c:v>406236.80547418818</c:v>
                </c:pt>
                <c:pt idx="16">
                  <c:v>522729.37705353578</c:v>
                </c:pt>
                <c:pt idx="17">
                  <c:v>581934.77316194051</c:v>
                </c:pt>
                <c:pt idx="18">
                  <c:v>568100.02460297418</c:v>
                </c:pt>
                <c:pt idx="19">
                  <c:v>580261.80701054458</c:v>
                </c:pt>
                <c:pt idx="20">
                  <c:v>553896.82055710885</c:v>
                </c:pt>
                <c:pt idx="21">
                  <c:v>519045.24866308516</c:v>
                </c:pt>
                <c:pt idx="22">
                  <c:v>1057538.978799144</c:v>
                </c:pt>
                <c:pt idx="23">
                  <c:v>987192.83603297931</c:v>
                </c:pt>
                <c:pt idx="24">
                  <c:v>1089692.0173067558</c:v>
                </c:pt>
                <c:pt idx="25">
                  <c:v>1256715.1713425077</c:v>
                </c:pt>
                <c:pt idx="26">
                  <c:v>1223027.5103496935</c:v>
                </c:pt>
                <c:pt idx="27">
                  <c:v>1399470.1995127341</c:v>
                </c:pt>
                <c:pt idx="28">
                  <c:v>1401581.9735346651</c:v>
                </c:pt>
                <c:pt idx="29">
                  <c:v>1351014.1663526637</c:v>
                </c:pt>
                <c:pt idx="30">
                  <c:v>1332704.3427342335</c:v>
                </c:pt>
                <c:pt idx="31">
                  <c:v>1308106.5460468617</c:v>
                </c:pt>
                <c:pt idx="32">
                  <c:v>1305400.4405864994</c:v>
                </c:pt>
                <c:pt idx="33">
                  <c:v>583078.82490000001</c:v>
                </c:pt>
                <c:pt idx="34">
                  <c:v>586108.46451549605</c:v>
                </c:pt>
                <c:pt idx="35">
                  <c:v>598269.51196435699</c:v>
                </c:pt>
                <c:pt idx="36">
                  <c:v>613566.81024735607</c:v>
                </c:pt>
                <c:pt idx="37">
                  <c:v>628971.37035469292</c:v>
                </c:pt>
                <c:pt idx="38">
                  <c:v>644483.84674714599</c:v>
                </c:pt>
                <c:pt idx="39">
                  <c:v>660104.89776318998</c:v>
                </c:pt>
                <c:pt idx="40">
                  <c:v>675835.18564168597</c:v>
                </c:pt>
                <c:pt idx="41">
                  <c:v>691675.37654474704</c:v>
                </c:pt>
                <c:pt idx="42">
                  <c:v>707626.14058069699</c:v>
                </c:pt>
                <c:pt idx="43">
                  <c:v>723688.15182720311</c:v>
                </c:pt>
                <c:pt idx="44">
                  <c:v>562785.40340548474</c:v>
                </c:pt>
                <c:pt idx="45">
                  <c:v>603582.88680185331</c:v>
                </c:pt>
                <c:pt idx="46">
                  <c:v>700904.29430203431</c:v>
                </c:pt>
                <c:pt idx="47">
                  <c:v>799954.84141602786</c:v>
                </c:pt>
                <c:pt idx="48">
                  <c:v>931567.27511756599</c:v>
                </c:pt>
                <c:pt idx="49">
                  <c:v>969328.74111192999</c:v>
                </c:pt>
                <c:pt idx="50">
                  <c:v>964372.07426165789</c:v>
                </c:pt>
                <c:pt idx="51">
                  <c:v>1028545.9865278259</c:v>
                </c:pt>
                <c:pt idx="52">
                  <c:v>1026985.0666159501</c:v>
                </c:pt>
                <c:pt idx="53">
                  <c:v>1048562.0880764649</c:v>
                </c:pt>
                <c:pt idx="54">
                  <c:v>1092846.0719158419</c:v>
                </c:pt>
                <c:pt idx="55">
                  <c:v>950664.51787899993</c:v>
                </c:pt>
                <c:pt idx="56">
                  <c:v>977718.76585337881</c:v>
                </c:pt>
                <c:pt idx="57">
                  <c:v>1000387.4732144759</c:v>
                </c:pt>
                <c:pt idx="58">
                  <c:v>1132855.9372481329</c:v>
                </c:pt>
                <c:pt idx="59">
                  <c:v>1406059.2696033861</c:v>
                </c:pt>
                <c:pt idx="60">
                  <c:v>2079544.2710446215</c:v>
                </c:pt>
                <c:pt idx="61">
                  <c:v>2133469.8082628832</c:v>
                </c:pt>
                <c:pt idx="62">
                  <c:v>2188723.0335779926</c:v>
                </c:pt>
                <c:pt idx="63">
                  <c:v>2243991.032926227</c:v>
                </c:pt>
                <c:pt idx="64">
                  <c:v>2300654.6185158966</c:v>
                </c:pt>
                <c:pt idx="65">
                  <c:v>2358749.0306484215</c:v>
                </c:pt>
              </c:numCache>
            </c:numRef>
          </c:val>
          <c:extLst>
            <c:ext xmlns:c16="http://schemas.microsoft.com/office/drawing/2014/chart" uri="{C3380CC4-5D6E-409C-BE32-E72D297353CC}">
              <c16:uniqueId val="{00000000-FA57-4F5A-9643-89D479C699D9}"/>
            </c:ext>
          </c:extLst>
        </c:ser>
        <c:ser>
          <c:idx val="1"/>
          <c:order val="1"/>
          <c:tx>
            <c:strRef>
              <c:f>Emission!$C$5:$C$7</c:f>
              <c:strCache>
                <c:ptCount val="1"/>
                <c:pt idx="0">
                  <c:v>kt - DEMOS_012A</c:v>
                </c:pt>
              </c:strCache>
            </c:strRef>
          </c:tx>
          <c:spPr>
            <a:solidFill>
              <a:schemeClr val="accent2"/>
            </a:solidFill>
            <a:ln>
              <a:noFill/>
            </a:ln>
            <a:effectLst/>
          </c:spPr>
          <c:invertIfNegative val="0"/>
          <c:cat>
            <c:multiLvlStrRef>
              <c:f>Emission!$A$8:$A$79</c:f>
              <c:multiLvlStrCache>
                <c:ptCount val="66"/>
                <c:lvl>
                  <c:pt idx="0">
                    <c:v>2005</c:v>
                  </c:pt>
                  <c:pt idx="1">
                    <c:v>2006</c:v>
                  </c:pt>
                  <c:pt idx="2">
                    <c:v>2010</c:v>
                  </c:pt>
                  <c:pt idx="3">
                    <c:v>2015</c:v>
                  </c:pt>
                  <c:pt idx="4">
                    <c:v>2020</c:v>
                  </c:pt>
                  <c:pt idx="5">
                    <c:v>2025</c:v>
                  </c:pt>
                  <c:pt idx="6">
                    <c:v>2030</c:v>
                  </c:pt>
                  <c:pt idx="7">
                    <c:v>2035</c:v>
                  </c:pt>
                  <c:pt idx="8">
                    <c:v>2040</c:v>
                  </c:pt>
                  <c:pt idx="9">
                    <c:v>2045</c:v>
                  </c:pt>
                  <c:pt idx="10">
                    <c:v>2050</c:v>
                  </c:pt>
                  <c:pt idx="11">
                    <c:v>2005</c:v>
                  </c:pt>
                  <c:pt idx="12">
                    <c:v>2006</c:v>
                  </c:pt>
                  <c:pt idx="13">
                    <c:v>2010</c:v>
                  </c:pt>
                  <c:pt idx="14">
                    <c:v>2015</c:v>
                  </c:pt>
                  <c:pt idx="15">
                    <c:v>2020</c:v>
                  </c:pt>
                  <c:pt idx="16">
                    <c:v>2025</c:v>
                  </c:pt>
                  <c:pt idx="17">
                    <c:v>2030</c:v>
                  </c:pt>
                  <c:pt idx="18">
                    <c:v>2035</c:v>
                  </c:pt>
                  <c:pt idx="19">
                    <c:v>2040</c:v>
                  </c:pt>
                  <c:pt idx="20">
                    <c:v>2045</c:v>
                  </c:pt>
                  <c:pt idx="21">
                    <c:v>2050</c:v>
                  </c:pt>
                  <c:pt idx="22">
                    <c:v>2005</c:v>
                  </c:pt>
                  <c:pt idx="23">
                    <c:v>2006</c:v>
                  </c:pt>
                  <c:pt idx="24">
                    <c:v>2010</c:v>
                  </c:pt>
                  <c:pt idx="25">
                    <c:v>2015</c:v>
                  </c:pt>
                  <c:pt idx="26">
                    <c:v>2020</c:v>
                  </c:pt>
                  <c:pt idx="27">
                    <c:v>2025</c:v>
                  </c:pt>
                  <c:pt idx="28">
                    <c:v>2030</c:v>
                  </c:pt>
                  <c:pt idx="29">
                    <c:v>2035</c:v>
                  </c:pt>
                  <c:pt idx="30">
                    <c:v>2040</c:v>
                  </c:pt>
                  <c:pt idx="31">
                    <c:v>2045</c:v>
                  </c:pt>
                  <c:pt idx="32">
                    <c:v>2050</c:v>
                  </c:pt>
                  <c:pt idx="33">
                    <c:v>2005</c:v>
                  </c:pt>
                  <c:pt idx="34">
                    <c:v>2006</c:v>
                  </c:pt>
                  <c:pt idx="35">
                    <c:v>2010</c:v>
                  </c:pt>
                  <c:pt idx="36">
                    <c:v>2015</c:v>
                  </c:pt>
                  <c:pt idx="37">
                    <c:v>2020</c:v>
                  </c:pt>
                  <c:pt idx="38">
                    <c:v>2025</c:v>
                  </c:pt>
                  <c:pt idx="39">
                    <c:v>2030</c:v>
                  </c:pt>
                  <c:pt idx="40">
                    <c:v>2035</c:v>
                  </c:pt>
                  <c:pt idx="41">
                    <c:v>2040</c:v>
                  </c:pt>
                  <c:pt idx="42">
                    <c:v>2045</c:v>
                  </c:pt>
                  <c:pt idx="43">
                    <c:v>2050</c:v>
                  </c:pt>
                  <c:pt idx="44">
                    <c:v>2005</c:v>
                  </c:pt>
                  <c:pt idx="45">
                    <c:v>2006</c:v>
                  </c:pt>
                  <c:pt idx="46">
                    <c:v>2010</c:v>
                  </c:pt>
                  <c:pt idx="47">
                    <c:v>2015</c:v>
                  </c:pt>
                  <c:pt idx="48">
                    <c:v>2020</c:v>
                  </c:pt>
                  <c:pt idx="49">
                    <c:v>2025</c:v>
                  </c:pt>
                  <c:pt idx="50">
                    <c:v>2030</c:v>
                  </c:pt>
                  <c:pt idx="51">
                    <c:v>2035</c:v>
                  </c:pt>
                  <c:pt idx="52">
                    <c:v>2040</c:v>
                  </c:pt>
                  <c:pt idx="53">
                    <c:v>2045</c:v>
                  </c:pt>
                  <c:pt idx="54">
                    <c:v>2050</c:v>
                  </c:pt>
                  <c:pt idx="55">
                    <c:v>2005</c:v>
                  </c:pt>
                  <c:pt idx="56">
                    <c:v>2006</c:v>
                  </c:pt>
                  <c:pt idx="57">
                    <c:v>2010</c:v>
                  </c:pt>
                  <c:pt idx="58">
                    <c:v>2015</c:v>
                  </c:pt>
                  <c:pt idx="59">
                    <c:v>2020</c:v>
                  </c:pt>
                  <c:pt idx="60">
                    <c:v>2025</c:v>
                  </c:pt>
                  <c:pt idx="61">
                    <c:v>2030</c:v>
                  </c:pt>
                  <c:pt idx="62">
                    <c:v>2035</c:v>
                  </c:pt>
                  <c:pt idx="63">
                    <c:v>2040</c:v>
                  </c:pt>
                  <c:pt idx="64">
                    <c:v>2045</c:v>
                  </c:pt>
                  <c:pt idx="65">
                    <c:v>2050</c:v>
                  </c:pt>
                </c:lvl>
                <c:lvl>
                  <c:pt idx="0">
                    <c:v>AGRCO2</c:v>
                  </c:pt>
                  <c:pt idx="11">
                    <c:v>COMCO2</c:v>
                  </c:pt>
                  <c:pt idx="22">
                    <c:v>ELCCO2</c:v>
                  </c:pt>
                  <c:pt idx="33">
                    <c:v>INDCO2</c:v>
                  </c:pt>
                  <c:pt idx="44">
                    <c:v>RSDCO2</c:v>
                  </c:pt>
                  <c:pt idx="55">
                    <c:v>TRACO2</c:v>
                  </c:pt>
                </c:lvl>
              </c:multiLvlStrCache>
            </c:multiLvlStrRef>
          </c:cat>
          <c:val>
            <c:numRef>
              <c:f>Emission!$C$8:$C$79</c:f>
              <c:numCache>
                <c:formatCode>0</c:formatCode>
                <c:ptCount val="66"/>
                <c:pt idx="0">
                  <c:v>36156.131297436601</c:v>
                </c:pt>
                <c:pt idx="1">
                  <c:v>37785.616716295001</c:v>
                </c:pt>
                <c:pt idx="2">
                  <c:v>45104.550364934097</c:v>
                </c:pt>
                <c:pt idx="3">
                  <c:v>56370.052943859402</c:v>
                </c:pt>
                <c:pt idx="4">
                  <c:v>70577.103687727795</c:v>
                </c:pt>
                <c:pt idx="5">
                  <c:v>88523.655830069198</c:v>
                </c:pt>
                <c:pt idx="6">
                  <c:v>92611.213338021305</c:v>
                </c:pt>
                <c:pt idx="7">
                  <c:v>96848.757779093197</c:v>
                </c:pt>
                <c:pt idx="8">
                  <c:v>101241.257537249</c:v>
                </c:pt>
                <c:pt idx="9">
                  <c:v>105793.83627676161</c:v>
                </c:pt>
                <c:pt idx="10">
                  <c:v>110511.7776162825</c:v>
                </c:pt>
                <c:pt idx="11">
                  <c:v>192912.61058740012</c:v>
                </c:pt>
                <c:pt idx="12">
                  <c:v>207228.46018103301</c:v>
                </c:pt>
                <c:pt idx="13">
                  <c:v>248369.34567063442</c:v>
                </c:pt>
                <c:pt idx="14">
                  <c:v>333933.6748099362</c:v>
                </c:pt>
                <c:pt idx="15">
                  <c:v>406236.80547418818</c:v>
                </c:pt>
                <c:pt idx="16">
                  <c:v>522729.37705353578</c:v>
                </c:pt>
                <c:pt idx="17">
                  <c:v>581934.77316194051</c:v>
                </c:pt>
                <c:pt idx="18">
                  <c:v>568100.02460297418</c:v>
                </c:pt>
                <c:pt idx="19">
                  <c:v>580261.80701054458</c:v>
                </c:pt>
                <c:pt idx="20">
                  <c:v>553896.82055710978</c:v>
                </c:pt>
                <c:pt idx="21">
                  <c:v>519045.24866308516</c:v>
                </c:pt>
                <c:pt idx="22">
                  <c:v>1057538.978799144</c:v>
                </c:pt>
                <c:pt idx="23">
                  <c:v>987192.83603297931</c:v>
                </c:pt>
                <c:pt idx="24">
                  <c:v>1089692.0173067562</c:v>
                </c:pt>
                <c:pt idx="25">
                  <c:v>1256715.1713425079</c:v>
                </c:pt>
                <c:pt idx="26">
                  <c:v>1223027.5103496932</c:v>
                </c:pt>
                <c:pt idx="27">
                  <c:v>1394941.4197692312</c:v>
                </c:pt>
                <c:pt idx="28">
                  <c:v>1397053.1937911625</c:v>
                </c:pt>
                <c:pt idx="29">
                  <c:v>1346485.3866091606</c:v>
                </c:pt>
                <c:pt idx="30">
                  <c:v>1328175.5629907302</c:v>
                </c:pt>
                <c:pt idx="31">
                  <c:v>1303577.7663033584</c:v>
                </c:pt>
                <c:pt idx="32">
                  <c:v>1298350.4015604798</c:v>
                </c:pt>
                <c:pt idx="33">
                  <c:v>583078.82490000001</c:v>
                </c:pt>
                <c:pt idx="34">
                  <c:v>586108.46451549605</c:v>
                </c:pt>
                <c:pt idx="35">
                  <c:v>598269.51196435699</c:v>
                </c:pt>
                <c:pt idx="36">
                  <c:v>613566.81024735607</c:v>
                </c:pt>
                <c:pt idx="37">
                  <c:v>628971.37035469292</c:v>
                </c:pt>
                <c:pt idx="38">
                  <c:v>644483.84674714599</c:v>
                </c:pt>
                <c:pt idx="39">
                  <c:v>660104.89776318998</c:v>
                </c:pt>
                <c:pt idx="40">
                  <c:v>675835.18564168597</c:v>
                </c:pt>
                <c:pt idx="41">
                  <c:v>691675.37654474704</c:v>
                </c:pt>
                <c:pt idx="42">
                  <c:v>707626.14058069699</c:v>
                </c:pt>
                <c:pt idx="43">
                  <c:v>723688.15182720311</c:v>
                </c:pt>
                <c:pt idx="44">
                  <c:v>562785.40340548474</c:v>
                </c:pt>
                <c:pt idx="45">
                  <c:v>603582.88680185331</c:v>
                </c:pt>
                <c:pt idx="46">
                  <c:v>700904.29430203431</c:v>
                </c:pt>
                <c:pt idx="47">
                  <c:v>799954.84141602786</c:v>
                </c:pt>
                <c:pt idx="48">
                  <c:v>931567.27511756599</c:v>
                </c:pt>
                <c:pt idx="49">
                  <c:v>969328.74111192999</c:v>
                </c:pt>
                <c:pt idx="50">
                  <c:v>964372.07426165789</c:v>
                </c:pt>
                <c:pt idx="51">
                  <c:v>1028545.9865278259</c:v>
                </c:pt>
                <c:pt idx="52">
                  <c:v>1026985.0666159501</c:v>
                </c:pt>
                <c:pt idx="53">
                  <c:v>1048562.0880764649</c:v>
                </c:pt>
                <c:pt idx="54">
                  <c:v>1092846.0719158419</c:v>
                </c:pt>
                <c:pt idx="55">
                  <c:v>950664.51787899993</c:v>
                </c:pt>
                <c:pt idx="56">
                  <c:v>977718.76585337881</c:v>
                </c:pt>
                <c:pt idx="57">
                  <c:v>1000387.4732144759</c:v>
                </c:pt>
                <c:pt idx="58">
                  <c:v>640965.29539197858</c:v>
                </c:pt>
                <c:pt idx="59">
                  <c:v>260201.26681676297</c:v>
                </c:pt>
                <c:pt idx="60">
                  <c:v>164860.0715374616</c:v>
                </c:pt>
                <c:pt idx="61">
                  <c:v>170437.43337354899</c:v>
                </c:pt>
                <c:pt idx="62">
                  <c:v>176121.63129162361</c:v>
                </c:pt>
                <c:pt idx="63">
                  <c:v>180164.47764291742</c:v>
                </c:pt>
                <c:pt idx="64">
                  <c:v>184498.90657310165</c:v>
                </c:pt>
                <c:pt idx="65">
                  <c:v>189173.63356082013</c:v>
                </c:pt>
              </c:numCache>
            </c:numRef>
          </c:val>
          <c:extLst>
            <c:ext xmlns:c16="http://schemas.microsoft.com/office/drawing/2014/chart" uri="{C3380CC4-5D6E-409C-BE32-E72D297353CC}">
              <c16:uniqueId val="{00000000-8B4D-469C-B985-83BB74CFFEFC}"/>
            </c:ext>
          </c:extLst>
        </c:ser>
        <c:dLbls>
          <c:showLegendKey val="0"/>
          <c:showVal val="0"/>
          <c:showCatName val="0"/>
          <c:showSerName val="0"/>
          <c:showPercent val="0"/>
          <c:showBubbleSize val="0"/>
        </c:dLbls>
        <c:gapWidth val="150"/>
        <c:axId val="872218320"/>
        <c:axId val="872228400"/>
      </c:barChart>
      <c:catAx>
        <c:axId val="87221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872228400"/>
        <c:crosses val="autoZero"/>
        <c:auto val="1"/>
        <c:lblAlgn val="ctr"/>
        <c:lblOffset val="100"/>
        <c:noMultiLvlLbl val="0"/>
      </c:catAx>
      <c:valAx>
        <c:axId val="872228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87221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316229</xdr:colOff>
      <xdr:row>8</xdr:row>
      <xdr:rowOff>80961</xdr:rowOff>
    </xdr:from>
    <xdr:to>
      <xdr:col>18</xdr:col>
      <xdr:colOff>430529</xdr:colOff>
      <xdr:row>27</xdr:row>
      <xdr:rowOff>85724</xdr:rowOff>
    </xdr:to>
    <xdr:graphicFrame macro="">
      <xdr:nvGraphicFramePr>
        <xdr:cNvPr id="2" name="Chart 1">
          <a:extLst>
            <a:ext uri="{FF2B5EF4-FFF2-40B4-BE49-F238E27FC236}">
              <a16:creationId xmlns:a16="http://schemas.microsoft.com/office/drawing/2014/main" id="{D7181E8D-5EF5-606C-E8EA-382ACF77D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990600</xdr:colOff>
      <xdr:row>10</xdr:row>
      <xdr:rowOff>85726</xdr:rowOff>
    </xdr:from>
    <xdr:to>
      <xdr:col>11</xdr:col>
      <xdr:colOff>400050</xdr:colOff>
      <xdr:row>41</xdr:row>
      <xdr:rowOff>71438</xdr:rowOff>
    </xdr:to>
    <xdr:graphicFrame macro="">
      <xdr:nvGraphicFramePr>
        <xdr:cNvPr id="2" name="Chart 1">
          <a:extLst>
            <a:ext uri="{FF2B5EF4-FFF2-40B4-BE49-F238E27FC236}">
              <a16:creationId xmlns:a16="http://schemas.microsoft.com/office/drawing/2014/main" id="{B245DABC-308F-94EE-1958-799C63F15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47625</xdr:colOff>
      <xdr:row>4</xdr:row>
      <xdr:rowOff>76200</xdr:rowOff>
    </xdr:from>
    <xdr:to>
      <xdr:col>14</xdr:col>
      <xdr:colOff>57150</xdr:colOff>
      <xdr:row>18</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85E552E-DBAC-DBAE-40BD-F7D0C2E2F8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77050" y="838200"/>
              <a:ext cx="1828800" cy="2667000"/>
            </a:xfrm>
            <a:prstGeom prst="rect">
              <a:avLst/>
            </a:prstGeom>
            <a:solidFill>
              <a:prstClr val="white"/>
            </a:solidFill>
            <a:ln w="1">
              <a:solidFill>
                <a:prstClr val="green"/>
              </a:solidFill>
            </a:ln>
          </xdr:spPr>
          <xdr:txBody>
            <a:bodyPr vertOverflow="clip" horzOverflow="clip"/>
            <a:lstStyle/>
            <a:p>
              <a:r>
                <a:rPr lang="en-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offer Steen Andersen" refreshedDate="45729.678210300925" backgroundQuery="1" createdVersion="8" refreshedVersion="8" minRefreshableVersion="3" recordCount="0" supportSubquery="1" supportAdvancedDrill="1" xr:uid="{CFC103E5-0483-418C-9C0D-0DD61A7B33F7}">
  <cacheSource type="external" connectionId="3"/>
  <cacheFields count="11">
    <cacheField name="[DemoS_012_report].[sector].[sector]" caption="sector" numFmtId="0" hierarchy="4" level="1">
      <sharedItems count="1">
        <s v="TR_ELE"/>
      </sharedItems>
    </cacheField>
    <cacheField name="[Measures].[Sum of value]" caption="Sum of value" numFmtId="0" hierarchy="24" level="32767"/>
    <cacheField name="[DemoS_012_report].[attr].[attr]" caption="attr" numFmtId="0" hierarchy="10" level="1">
      <sharedItems count="5">
        <s v="levc"/>
        <s v="objfix" u="1"/>
        <s v="objinv" u="1"/>
        <s v="objsal" u="1"/>
        <s v="objvar" u="1"/>
      </sharedItems>
    </cacheField>
    <cacheField name="[DemoS_012_report].[year].[year]" caption="year" numFmtId="0" hierarchy="16" level="1">
      <sharedItems containsSemiMixedTypes="0" containsString="0" containsNumber="1" containsInteger="1" minValue="2005" maxValue="2050" count="10">
        <n v="2010"/>
        <n v="2015"/>
        <n v="2020"/>
        <n v="2025"/>
        <n v="2030"/>
        <n v="2035"/>
        <n v="2040"/>
        <n v="2045"/>
        <n v="2050"/>
        <n v="2005" u="1"/>
      </sharedItems>
      <extLst>
        <ext xmlns:x15="http://schemas.microsoft.com/office/spreadsheetml/2010/11/main" uri="{4F2E5C28-24EA-4eb8-9CBF-B6C8F9C3D259}">
          <x15:cachedUniqueNames>
            <x15:cachedUniqueName index="0" name="[DemoS_012_report].[year].&amp;[2010]"/>
            <x15:cachedUniqueName index="1" name="[DemoS_012_report].[year].&amp;[2015]"/>
            <x15:cachedUniqueName index="2" name="[DemoS_012_report].[year].&amp;[2020]"/>
            <x15:cachedUniqueName index="3" name="[DemoS_012_report].[year].&amp;[2025]"/>
            <x15:cachedUniqueName index="4" name="[DemoS_012_report].[year].&amp;[2030]"/>
            <x15:cachedUniqueName index="5" name="[DemoS_012_report].[year].&amp;[2035]"/>
            <x15:cachedUniqueName index="6" name="[DemoS_012_report].[year].&amp;[2040]"/>
            <x15:cachedUniqueName index="7" name="[DemoS_012_report].[year].&amp;[2045]"/>
            <x15:cachedUniqueName index="8" name="[DemoS_012_report].[year].&amp;[2050]"/>
            <x15:cachedUniqueName index="9" name="[DemoS_012_report].[year].&amp;[2005]"/>
          </x15:cachedUniqueNames>
        </ext>
      </extLst>
    </cacheField>
    <cacheField name="[DemoS_012_report].[topic].[topic]" caption="topic" numFmtId="0" hierarchy="9" level="1">
      <sharedItems count="1">
        <s v="capacity"/>
      </sharedItems>
    </cacheField>
    <cacheField name="[DemoS_012_report].[units].[units]" caption="units" numFmtId="0" hierarchy="18" level="1">
      <sharedItems count="1">
        <s v="pj"/>
      </sharedItems>
    </cacheField>
    <cacheField name="[DemoS_012_report].[filename].[filename]" caption="filename" numFmtId="0" hierarchy="2" level="1">
      <sharedItems count="2">
        <s v="demos_012_TIMESreport"/>
        <s v="demos_012a_TIMESreport"/>
      </sharedItems>
    </cacheField>
    <cacheField name="[DemoS_012_report].[scen].[scen]" caption="scen" numFmtId="0" hierarchy="3" level="1">
      <sharedItems containsSemiMixedTypes="0" containsNonDate="0" containsString="0"/>
    </cacheField>
    <cacheField name="[DemoS_012_report].[subsector].[subsector]" caption="subsector" numFmtId="0" hierarchy="5" level="1">
      <sharedItems containsSemiMixedTypes="0" containsNonDate="0" containsString="0"/>
    </cacheField>
    <cacheField name="[DemoS_012_report].[prc].[prc]" caption="prc" numFmtId="0" hierarchy="11" level="1">
      <sharedItems containsSemiMixedTypes="0" containsNonDate="0" containsString="0"/>
    </cacheField>
    <cacheField name="[DemoS_012_report].[cur].[cur]" caption="cur" numFmtId="0" hierarchy="19" level="1">
      <sharedItems count="1">
        <s v="MEuro05"/>
      </sharedItems>
    </cacheField>
  </cacheFields>
  <cacheHierarchies count="25">
    <cacheHierarchy uniqueName="[compare_com_desc  2].[com]" caption="com" attribute="1" defaultMemberUniqueName="[compare_com_desc  2].[com].[All]" allUniqueName="[compare_com_desc  2].[com].[All]" dimensionUniqueName="[compare_com_desc  2]" displayFolder="" count="0" memberValueDatatype="130" unbalanced="0"/>
    <cacheHierarchy uniqueName="[compare_com_desc  2].[com_desc]" caption="com_desc" attribute="1" defaultMemberUniqueName="[compare_com_desc  2].[com_desc].[All]" allUniqueName="[compare_com_desc  2].[com_desc].[All]" dimensionUniqueName="[compare_com_desc  2]" displayFolder="" count="0" memberValueDatatype="130" unbalanced="0"/>
    <cacheHierarchy uniqueName="[DemoS_012_report].[filename]" caption="filename" attribute="1" defaultMemberUniqueName="[DemoS_012_report].[filename].[All]" allUniqueName="[DemoS_012_report].[filename].[All]" dimensionUniqueName="[DemoS_012_report]" displayFolder="" count="2" memberValueDatatype="130" unbalanced="0">
      <fieldsUsage count="2">
        <fieldUsage x="-1"/>
        <fieldUsage x="6"/>
      </fieldsUsage>
    </cacheHierarchy>
    <cacheHierarchy uniqueName="[DemoS_012_report].[scen]" caption="scen" attribute="1" defaultMemberUniqueName="[DemoS_012_report].[scen].[All]" allUniqueName="[DemoS_012_report].[scen].[All]" dimensionUniqueName="[DemoS_012_report]" displayFolder="" count="2" memberValueDatatype="130" unbalanced="0">
      <fieldsUsage count="2">
        <fieldUsage x="-1"/>
        <fieldUsage x="7"/>
      </fieldsUsage>
    </cacheHierarchy>
    <cacheHierarchy uniqueName="[DemoS_012_report].[sector]" caption="sector" attribute="1" defaultMemberUniqueName="[DemoS_012_report].[sector].[All]" allUniqueName="[DemoS_012_report].[sector].[All]" dimensionUniqueName="[DemoS_012_report]" displayFolder="" count="2" memberValueDatatype="130" unbalanced="0">
      <fieldsUsage count="2">
        <fieldUsage x="-1"/>
        <fieldUsage x="0"/>
      </fieldsUsage>
    </cacheHierarchy>
    <cacheHierarchy uniqueName="[DemoS_012_report].[subsector]" caption="subsector" attribute="1" defaultMemberUniqueName="[DemoS_012_report].[subsector].[All]" allUniqueName="[DemoS_012_report].[subsector].[All]" dimensionUniqueName="[DemoS_012_report]" displayFolder="" count="2" memberValueDatatype="130" unbalanced="0">
      <fieldsUsage count="2">
        <fieldUsage x="-1"/>
        <fieldUsage x="8"/>
      </fieldsUsage>
    </cacheHierarchy>
    <cacheHierarchy uniqueName="[DemoS_012_report].[service]" caption="service" attribute="1" defaultMemberUniqueName="[DemoS_012_report].[service].[All]" allUniqueName="[DemoS_012_report].[service].[All]" dimensionUniqueName="[DemoS_012_report]" displayFolder="" count="0" memberValueDatatype="130" unbalanced="0"/>
    <cacheHierarchy uniqueName="[DemoS_012_report].[techgroup]" caption="techgroup" attribute="1" defaultMemberUniqueName="[DemoS_012_report].[techgroup].[All]" allUniqueName="[DemoS_012_report].[techgroup].[All]" dimensionUniqueName="[DemoS_012_report]" displayFolder="" count="0" memberValueDatatype="130" unbalanced="0"/>
    <cacheHierarchy uniqueName="[DemoS_012_report].[comgroup]" caption="comgroup" attribute="1" defaultMemberUniqueName="[DemoS_012_report].[comgroup].[All]" allUniqueName="[DemoS_012_report].[comgroup].[All]" dimensionUniqueName="[DemoS_012_report]" displayFolder="" count="0" memberValueDatatype="130" unbalanced="0"/>
    <cacheHierarchy uniqueName="[DemoS_012_report].[topic]" caption="topic" attribute="1" defaultMemberUniqueName="[DemoS_012_report].[topic].[All]" allUniqueName="[DemoS_012_report].[topic].[All]" dimensionUniqueName="[DemoS_012_report]" displayFolder="" count="2" memberValueDatatype="130" unbalanced="0">
      <fieldsUsage count="2">
        <fieldUsage x="-1"/>
        <fieldUsage x="4"/>
      </fieldsUsage>
    </cacheHierarchy>
    <cacheHierarchy uniqueName="[DemoS_012_report].[attr]" caption="attr" attribute="1" defaultMemberUniqueName="[DemoS_012_report].[attr].[All]" allUniqueName="[DemoS_012_report].[attr].[All]" dimensionUniqueName="[DemoS_012_report]" displayFolder="" count="2" memberValueDatatype="130" unbalanced="0">
      <fieldsUsage count="2">
        <fieldUsage x="-1"/>
        <fieldUsage x="2"/>
      </fieldsUsage>
    </cacheHierarchy>
    <cacheHierarchy uniqueName="[DemoS_012_report].[prc]" caption="prc" attribute="1" defaultMemberUniqueName="[DemoS_012_report].[prc].[All]" allUniqueName="[DemoS_012_report].[prc].[All]" dimensionUniqueName="[DemoS_012_report]" displayFolder="" count="2" memberValueDatatype="130" unbalanced="0">
      <fieldsUsage count="2">
        <fieldUsage x="-1"/>
        <fieldUsage x="9"/>
      </fieldsUsage>
    </cacheHierarchy>
    <cacheHierarchy uniqueName="[DemoS_012_report].[com]" caption="com" attribute="1" defaultMemberUniqueName="[DemoS_012_report].[com].[All]" allUniqueName="[DemoS_012_report].[com].[All]" dimensionUniqueName="[DemoS_012_report]" displayFolder="" count="0" memberValueDatatype="130" unbalanced="0"/>
    <cacheHierarchy uniqueName="[DemoS_012_report].[timeslice]" caption="timeslice" attribute="1" defaultMemberUniqueName="[DemoS_012_report].[timeslice].[All]" allUniqueName="[DemoS_012_report].[timeslice].[All]" dimensionUniqueName="[DemoS_012_report]" displayFolder="" count="0" memberValueDatatype="130" unbalanced="0"/>
    <cacheHierarchy uniqueName="[DemoS_012_report].[regionFrom]" caption="regionFrom" attribute="1" defaultMemberUniqueName="[DemoS_012_report].[regionFrom].[All]" allUniqueName="[DemoS_012_report].[regionFrom].[All]" dimensionUniqueName="[DemoS_012_report]" displayFolder="" count="0" memberValueDatatype="130" unbalanced="0"/>
    <cacheHierarchy uniqueName="[DemoS_012_report].[regionTo]" caption="regionTo" attribute="1" defaultMemberUniqueName="[DemoS_012_report].[regionTo].[All]" allUniqueName="[DemoS_012_report].[regionTo].[All]" dimensionUniqueName="[DemoS_012_report]" displayFolder="" count="0" memberValueDatatype="130" unbalanced="0"/>
    <cacheHierarchy uniqueName="[DemoS_012_report].[year]" caption="year" attribute="1" defaultMemberUniqueName="[DemoS_012_report].[year].[All]" allUniqueName="[DemoS_012_report].[year].[All]" dimensionUniqueName="[DemoS_012_report]" displayFolder="" count="2" memberValueDatatype="20" unbalanced="0">
      <fieldsUsage count="2">
        <fieldUsage x="-1"/>
        <fieldUsage x="3"/>
      </fieldsUsage>
    </cacheHierarchy>
    <cacheHierarchy uniqueName="[DemoS_012_report].[vntg]" caption="vntg" attribute="1" defaultMemberUniqueName="[DemoS_012_report].[vntg].[All]" allUniqueName="[DemoS_012_report].[vntg].[All]" dimensionUniqueName="[DemoS_012_report]" displayFolder="" count="0" memberValueDatatype="130" unbalanced="0"/>
    <cacheHierarchy uniqueName="[DemoS_012_report].[units]" caption="units" attribute="1" defaultMemberUniqueName="[DemoS_012_report].[units].[All]" allUniqueName="[DemoS_012_report].[units].[All]" dimensionUniqueName="[DemoS_012_report]" displayFolder="" count="2" memberValueDatatype="130" unbalanced="0">
      <fieldsUsage count="2">
        <fieldUsage x="-1"/>
        <fieldUsage x="5"/>
      </fieldsUsage>
    </cacheHierarchy>
    <cacheHierarchy uniqueName="[DemoS_012_report].[cur]" caption="cur" attribute="1" defaultMemberUniqueName="[DemoS_012_report].[cur].[All]" allUniqueName="[DemoS_012_report].[cur].[All]" dimensionUniqueName="[DemoS_012_report]" displayFolder="" count="2" memberValueDatatype="130" unbalanced="0">
      <fieldsUsage count="2">
        <fieldUsage x="-1"/>
        <fieldUsage x="10"/>
      </fieldsUsage>
    </cacheHierarchy>
    <cacheHierarchy uniqueName="[DemoS_012_report].[value]" caption="value" attribute="1" defaultMemberUniqueName="[DemoS_012_report].[value].[All]" allUniqueName="[DemoS_012_report].[value].[All]" dimensionUniqueName="[DemoS_012_report]" displayFolder="" count="0" memberValueDatatype="5" unbalanced="0"/>
    <cacheHierarchy uniqueName="[Measures].[__XL_Count DemoS_012_report]" caption="__XL_Count DemoS_012_report" measure="1" displayFolder="" measureGroup="DemoS_012_report" count="0" hidden="1"/>
    <cacheHierarchy uniqueName="[Measures].[__XL_Count compare_com_desc  2]" caption="__XL_Count compare_com_desc  2" measure="1" displayFolder="" measureGroup="compare_com_desc  2" count="0" hidden="1"/>
    <cacheHierarchy uniqueName="[Measures].[__No measures defined]" caption="__No measures defined" measure="1" displayFolder="" count="0" hidden="1"/>
    <cacheHierarchy uniqueName="[Measures].[Sum of value]" caption="Sum of value" measure="1" displayFolder="" measureGroup="DemoS_012_report"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3">
    <dimension name="compare_com_desc  2" uniqueName="[compare_com_desc  2]" caption="compare_com_desc  2"/>
    <dimension name="DemoS_012_report" uniqueName="[DemoS_012_report]" caption="DemoS_012_report"/>
    <dimension measure="1" name="Measures" uniqueName="[Measures]" caption="Measures"/>
  </dimensions>
  <measureGroups count="2">
    <measureGroup name="compare_com_desc  2" caption="compare_com_desc  2"/>
    <measureGroup name="DemoS_012_report" caption="DemoS_012_repor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offer Steen Andersen" refreshedDate="45729.678211805556" backgroundQuery="1" createdVersion="8" refreshedVersion="8" minRefreshableVersion="3" recordCount="0" supportSubquery="1" supportAdvancedDrill="1" xr:uid="{76FE4A66-6CA7-4D52-B8E4-39F9A7005EDA}">
  <cacheSource type="external" connectionId="3"/>
  <cacheFields count="11">
    <cacheField name="[DemoS_012_report].[sector].[sector]" caption="sector" numFmtId="0" hierarchy="4" level="1">
      <sharedItems containsSemiMixedTypes="0" containsNonDate="0" containsString="0"/>
    </cacheField>
    <cacheField name="[Measures].[Sum of value]" caption="Sum of value" numFmtId="0" hierarchy="24" level="32767"/>
    <cacheField name="[DemoS_012_report].[attr].[attr]" caption="attr" numFmtId="0" hierarchy="10" level="1">
      <sharedItems count="13">
        <s v="actl"/>
        <s v="cap_"/>
        <s v="levc"/>
        <s v="ncap"/>
        <s v="actc"/>
        <s v="fixc"/>
        <s v="floc"/>
        <s v="flor"/>
        <s v="invc"/>
        <s v="fout"/>
        <s v="f_in"/>
        <s v="inv_"/>
        <s v="apri"/>
      </sharedItems>
    </cacheField>
    <cacheField name="[DemoS_012_report].[year].[year]" caption="year" numFmtId="0" hierarchy="16" level="1">
      <sharedItems containsSemiMixedTypes="0" containsString="0" containsNumber="1" containsInteger="1" minValue="2030" maxValue="2030" count="1">
        <n v="2030"/>
      </sharedItems>
      <extLst>
        <ext xmlns:x15="http://schemas.microsoft.com/office/spreadsheetml/2010/11/main" uri="{4F2E5C28-24EA-4eb8-9CBF-B6C8F9C3D259}">
          <x15:cachedUniqueNames>
            <x15:cachedUniqueName index="0" name="[DemoS_012_report].[year].&amp;[2030]"/>
          </x15:cachedUniqueNames>
        </ext>
      </extLst>
    </cacheField>
    <cacheField name="[DemoS_012_report].[topic].[topic]" caption="topic" numFmtId="0" hierarchy="9" level="1">
      <sharedItems count="6">
        <s v="capacity"/>
        <s v="costs"/>
        <s v="emission"/>
        <s v="energy"/>
        <s v="lumpsum"/>
        <s v="prices"/>
      </sharedItems>
    </cacheField>
    <cacheField name="[DemoS_012_report].[units].[units]" caption="units" numFmtId="0" hierarchy="18" level="1">
      <sharedItems count="4">
        <s v="kt"/>
        <s v="mw"/>
        <s v="NA"/>
        <s v="pj"/>
      </sharedItems>
    </cacheField>
    <cacheField name="[DemoS_012_report].[subsector].[subsector]" caption="subsector" numFmtId="0" hierarchy="5" level="1">
      <sharedItems containsSemiMixedTypes="0" containsNonDate="0" containsString="0"/>
    </cacheField>
    <cacheField name="[DemoS_012_report].[filename].[filename]" caption="filename" numFmtId="0" hierarchy="2" level="1">
      <sharedItems count="2">
        <s v="demos_012_TIMESreport"/>
        <s v="demos_012a_TIMESreport"/>
      </sharedItems>
    </cacheField>
    <cacheField name="[DemoS_012_report].[service].[service]" caption="service" numFmtId="0" hierarchy="6" level="1">
      <sharedItems count="1">
        <s v="NA"/>
      </sharedItems>
    </cacheField>
    <cacheField name="[DemoS_012_report].[regionFrom].[regionFrom]" caption="regionFrom" numFmtId="0" hierarchy="14" level="1">
      <sharedItems count="2">
        <s v="REG1"/>
        <s v="REG2" u="1"/>
      </sharedItems>
    </cacheField>
    <cacheField name="[DemoS_012_report].[regionTo].[regionTo]" caption="regionTo" numFmtId="0" hierarchy="15" level="1">
      <sharedItems count="2">
        <s v="REG1"/>
        <s v="REG2"/>
      </sharedItems>
    </cacheField>
  </cacheFields>
  <cacheHierarchies count="25">
    <cacheHierarchy uniqueName="[compare_com_desc  2].[com]" caption="com" attribute="1" defaultMemberUniqueName="[compare_com_desc  2].[com].[All]" allUniqueName="[compare_com_desc  2].[com].[All]" dimensionUniqueName="[compare_com_desc  2]" displayFolder="" count="0" memberValueDatatype="130" unbalanced="0"/>
    <cacheHierarchy uniqueName="[compare_com_desc  2].[com_desc]" caption="com_desc" attribute="1" defaultMemberUniqueName="[compare_com_desc  2].[com_desc].[All]" allUniqueName="[compare_com_desc  2].[com_desc].[All]" dimensionUniqueName="[compare_com_desc  2]" displayFolder="" count="0" memberValueDatatype="130" unbalanced="0"/>
    <cacheHierarchy uniqueName="[DemoS_012_report].[filename]" caption="filename" attribute="1" defaultMemberUniqueName="[DemoS_012_report].[filename].[All]" allUniqueName="[DemoS_012_report].[filename].[All]" dimensionUniqueName="[DemoS_012_report]" displayFolder="" count="2" memberValueDatatype="130" unbalanced="0">
      <fieldsUsage count="2">
        <fieldUsage x="-1"/>
        <fieldUsage x="7"/>
      </fieldsUsage>
    </cacheHierarchy>
    <cacheHierarchy uniqueName="[DemoS_012_report].[scen]" caption="scen" attribute="1" defaultMemberUniqueName="[DemoS_012_report].[scen].[All]" allUniqueName="[DemoS_012_report].[scen].[All]" dimensionUniqueName="[DemoS_012_report]" displayFolder="" count="0" memberValueDatatype="130" unbalanced="0"/>
    <cacheHierarchy uniqueName="[DemoS_012_report].[sector]" caption="sector" attribute="1" defaultMemberUniqueName="[DemoS_012_report].[sector].[All]" allUniqueName="[DemoS_012_report].[sector].[All]" dimensionUniqueName="[DemoS_012_report]" displayFolder="" count="2" memberValueDatatype="130" unbalanced="0">
      <fieldsUsage count="2">
        <fieldUsage x="-1"/>
        <fieldUsage x="0"/>
      </fieldsUsage>
    </cacheHierarchy>
    <cacheHierarchy uniqueName="[DemoS_012_report].[subsector]" caption="subsector" attribute="1" defaultMemberUniqueName="[DemoS_012_report].[subsector].[All]" allUniqueName="[DemoS_012_report].[subsector].[All]" dimensionUniqueName="[DemoS_012_report]" displayFolder="" count="2" memberValueDatatype="130" unbalanced="0">
      <fieldsUsage count="2">
        <fieldUsage x="-1"/>
        <fieldUsage x="6"/>
      </fieldsUsage>
    </cacheHierarchy>
    <cacheHierarchy uniqueName="[DemoS_012_report].[service]" caption="service" attribute="1" defaultMemberUniqueName="[DemoS_012_report].[service].[All]" allUniqueName="[DemoS_012_report].[service].[All]" dimensionUniqueName="[DemoS_012_report]" displayFolder="" count="2" memberValueDatatype="130" unbalanced="0">
      <fieldsUsage count="2">
        <fieldUsage x="-1"/>
        <fieldUsage x="8"/>
      </fieldsUsage>
    </cacheHierarchy>
    <cacheHierarchy uniqueName="[DemoS_012_report].[techgroup]" caption="techgroup" attribute="1" defaultMemberUniqueName="[DemoS_012_report].[techgroup].[All]" allUniqueName="[DemoS_012_report].[techgroup].[All]" dimensionUniqueName="[DemoS_012_report]" displayFolder="" count="0" memberValueDatatype="130" unbalanced="0"/>
    <cacheHierarchy uniqueName="[DemoS_012_report].[comgroup]" caption="comgroup" attribute="1" defaultMemberUniqueName="[DemoS_012_report].[comgroup].[All]" allUniqueName="[DemoS_012_report].[comgroup].[All]" dimensionUniqueName="[DemoS_012_report]" displayFolder="" count="0" memberValueDatatype="130" unbalanced="0"/>
    <cacheHierarchy uniqueName="[DemoS_012_report].[topic]" caption="topic" attribute="1" defaultMemberUniqueName="[DemoS_012_report].[topic].[All]" allUniqueName="[DemoS_012_report].[topic].[All]" dimensionUniqueName="[DemoS_012_report]" displayFolder="" count="2" memberValueDatatype="130" unbalanced="0">
      <fieldsUsage count="2">
        <fieldUsage x="-1"/>
        <fieldUsage x="4"/>
      </fieldsUsage>
    </cacheHierarchy>
    <cacheHierarchy uniqueName="[DemoS_012_report].[attr]" caption="attr" attribute="1" defaultMemberUniqueName="[DemoS_012_report].[attr].[All]" allUniqueName="[DemoS_012_report].[attr].[All]" dimensionUniqueName="[DemoS_012_report]" displayFolder="" count="2" memberValueDatatype="130" unbalanced="0">
      <fieldsUsage count="2">
        <fieldUsage x="-1"/>
        <fieldUsage x="2"/>
      </fieldsUsage>
    </cacheHierarchy>
    <cacheHierarchy uniqueName="[DemoS_012_report].[prc]" caption="prc" attribute="1" defaultMemberUniqueName="[DemoS_012_report].[prc].[All]" allUniqueName="[DemoS_012_report].[prc].[All]" dimensionUniqueName="[DemoS_012_report]" displayFolder="" count="0" memberValueDatatype="130" unbalanced="0"/>
    <cacheHierarchy uniqueName="[DemoS_012_report].[com]" caption="com" attribute="1" defaultMemberUniqueName="[DemoS_012_report].[com].[All]" allUniqueName="[DemoS_012_report].[com].[All]" dimensionUniqueName="[DemoS_012_report]" displayFolder="" count="0" memberValueDatatype="130" unbalanced="0"/>
    <cacheHierarchy uniqueName="[DemoS_012_report].[timeslice]" caption="timeslice" attribute="1" defaultMemberUniqueName="[DemoS_012_report].[timeslice].[All]" allUniqueName="[DemoS_012_report].[timeslice].[All]" dimensionUniqueName="[DemoS_012_report]" displayFolder="" count="0" memberValueDatatype="130" unbalanced="0"/>
    <cacheHierarchy uniqueName="[DemoS_012_report].[regionFrom]" caption="regionFrom" attribute="1" defaultMemberUniqueName="[DemoS_012_report].[regionFrom].[All]" allUniqueName="[DemoS_012_report].[regionFrom].[All]" dimensionUniqueName="[DemoS_012_report]" displayFolder="" count="2" memberValueDatatype="130" unbalanced="0">
      <fieldsUsage count="2">
        <fieldUsage x="-1"/>
        <fieldUsage x="9"/>
      </fieldsUsage>
    </cacheHierarchy>
    <cacheHierarchy uniqueName="[DemoS_012_report].[regionTo]" caption="regionTo" attribute="1" defaultMemberUniqueName="[DemoS_012_report].[regionTo].[All]" allUniqueName="[DemoS_012_report].[regionTo].[All]" dimensionUniqueName="[DemoS_012_report]" displayFolder="" count="2" memberValueDatatype="130" unbalanced="0">
      <fieldsUsage count="2">
        <fieldUsage x="-1"/>
        <fieldUsage x="10"/>
      </fieldsUsage>
    </cacheHierarchy>
    <cacheHierarchy uniqueName="[DemoS_012_report].[year]" caption="year" attribute="1" defaultMemberUniqueName="[DemoS_012_report].[year].[All]" allUniqueName="[DemoS_012_report].[year].[All]" dimensionUniqueName="[DemoS_012_report]" displayFolder="" count="2" memberValueDatatype="20" unbalanced="0">
      <fieldsUsage count="2">
        <fieldUsage x="-1"/>
        <fieldUsage x="3"/>
      </fieldsUsage>
    </cacheHierarchy>
    <cacheHierarchy uniqueName="[DemoS_012_report].[vntg]" caption="vntg" attribute="1" defaultMemberUniqueName="[DemoS_012_report].[vntg].[All]" allUniqueName="[DemoS_012_report].[vntg].[All]" dimensionUniqueName="[DemoS_012_report]" displayFolder="" count="0" memberValueDatatype="130" unbalanced="0"/>
    <cacheHierarchy uniqueName="[DemoS_012_report].[units]" caption="units" attribute="1" defaultMemberUniqueName="[DemoS_012_report].[units].[All]" allUniqueName="[DemoS_012_report].[units].[All]" dimensionUniqueName="[DemoS_012_report]" displayFolder="" count="2" memberValueDatatype="130" unbalanced="0">
      <fieldsUsage count="2">
        <fieldUsage x="-1"/>
        <fieldUsage x="5"/>
      </fieldsUsage>
    </cacheHierarchy>
    <cacheHierarchy uniqueName="[DemoS_012_report].[cur]" caption="cur" attribute="1" defaultMemberUniqueName="[DemoS_012_report].[cur].[All]" allUniqueName="[DemoS_012_report].[cur].[All]" dimensionUniqueName="[DemoS_012_report]" displayFolder="" count="0" memberValueDatatype="130" unbalanced="0"/>
    <cacheHierarchy uniqueName="[DemoS_012_report].[value]" caption="value" attribute="1" defaultMemberUniqueName="[DemoS_012_report].[value].[All]" allUniqueName="[DemoS_012_report].[value].[All]" dimensionUniqueName="[DemoS_012_report]" displayFolder="" count="0" memberValueDatatype="5" unbalanced="0"/>
    <cacheHierarchy uniqueName="[Measures].[__XL_Count DemoS_012_report]" caption="__XL_Count DemoS_012_report" measure="1" displayFolder="" measureGroup="DemoS_012_report" count="0" hidden="1"/>
    <cacheHierarchy uniqueName="[Measures].[__XL_Count compare_com_desc  2]" caption="__XL_Count compare_com_desc  2" measure="1" displayFolder="" measureGroup="compare_com_desc  2" count="0" hidden="1"/>
    <cacheHierarchy uniqueName="[Measures].[__No measures defined]" caption="__No measures defined" measure="1" displayFolder="" count="0" hidden="1"/>
    <cacheHierarchy uniqueName="[Measures].[Sum of value]" caption="Sum of value" measure="1" displayFolder="" measureGroup="DemoS_012_report"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3">
    <dimension name="compare_com_desc  2" uniqueName="[compare_com_desc  2]" caption="compare_com_desc  2"/>
    <dimension name="DemoS_012_report" uniqueName="[DemoS_012_report]" caption="DemoS_012_report"/>
    <dimension measure="1" name="Measures" uniqueName="[Measures]" caption="Measures"/>
  </dimensions>
  <measureGroups count="2">
    <measureGroup name="compare_com_desc  2" caption="compare_com_desc  2"/>
    <measureGroup name="DemoS_012_report" caption="DemoS_012_repor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offer Steen Andersen" refreshedDate="45729.678213425927" backgroundQuery="1" createdVersion="8" refreshedVersion="8" minRefreshableVersion="3" recordCount="0" supportSubquery="1" supportAdvancedDrill="1" xr:uid="{5A7DD91E-8B7C-45AA-986D-944C67C6F7F1}">
  <cacheSource type="external" connectionId="3"/>
  <cacheFields count="7">
    <cacheField name="[Measures].[Sum of value]" caption="Sum of value" numFmtId="0" hierarchy="24" level="32767"/>
    <cacheField name="[DemoS_012_report].[attr].[attr]" caption="attr" numFmtId="0" hierarchy="10" level="1">
      <sharedItems count="2">
        <s v="fout"/>
        <s v="f_in" u="1"/>
      </sharedItems>
    </cacheField>
    <cacheField name="[DemoS_012_report].[year].[year]" caption="year" numFmtId="0" hierarchy="16" level="1">
      <sharedItems containsSemiMixedTypes="0" containsString="0" containsNumber="1" containsInteger="1" minValue="2005" maxValue="2050" count="11">
        <n v="2005"/>
        <n v="2006"/>
        <n v="2010"/>
        <n v="2015"/>
        <n v="2020"/>
        <n v="2025"/>
        <n v="2030"/>
        <n v="2035"/>
        <n v="2040"/>
        <n v="2045"/>
        <n v="2050"/>
      </sharedItems>
      <extLst>
        <ext xmlns:x15="http://schemas.microsoft.com/office/spreadsheetml/2010/11/main" uri="{4F2E5C28-24EA-4eb8-9CBF-B6C8F9C3D259}">
          <x15:cachedUniqueNames>
            <x15:cachedUniqueName index="0" name="[DemoS_012_report].[year].&amp;[2005]"/>
            <x15:cachedUniqueName index="1" name="[DemoS_012_report].[year].&amp;[2006]"/>
            <x15:cachedUniqueName index="2" name="[DemoS_012_report].[year].&amp;[2010]"/>
            <x15:cachedUniqueName index="3" name="[DemoS_012_report].[year].&amp;[2015]"/>
            <x15:cachedUniqueName index="4" name="[DemoS_012_report].[year].&amp;[2020]"/>
            <x15:cachedUniqueName index="5" name="[DemoS_012_report].[year].&amp;[2025]"/>
            <x15:cachedUniqueName index="6" name="[DemoS_012_report].[year].&amp;[2030]"/>
            <x15:cachedUniqueName index="7" name="[DemoS_012_report].[year].&amp;[2035]"/>
            <x15:cachedUniqueName index="8" name="[DemoS_012_report].[year].&amp;[2040]"/>
            <x15:cachedUniqueName index="9" name="[DemoS_012_report].[year].&amp;[2045]"/>
            <x15:cachedUniqueName index="10" name="[DemoS_012_report].[year].&amp;[2050]"/>
          </x15:cachedUniqueNames>
        </ext>
      </extLst>
    </cacheField>
    <cacheField name="[DemoS_012_report].[topic].[topic]" caption="topic" numFmtId="0" hierarchy="9" level="1">
      <sharedItems count="1">
        <s v="emission"/>
      </sharedItems>
    </cacheField>
    <cacheField name="[DemoS_012_report].[units].[units]" caption="units" numFmtId="0" hierarchy="18" level="1">
      <sharedItems count="1">
        <s v="kt"/>
      </sharedItems>
    </cacheField>
    <cacheField name="[DemoS_012_report].[com].[com]" caption="com" numFmtId="0" hierarchy="12" level="1">
      <sharedItems count="6">
        <s v="AGRCO2"/>
        <s v="COMCO2"/>
        <s v="ELCCO2"/>
        <s v="INDCO2"/>
        <s v="RSDCO2"/>
        <s v="TRACO2"/>
      </sharedItems>
    </cacheField>
    <cacheField name="[DemoS_012_report].[scen].[scen]" caption="scen" numFmtId="0" hierarchy="3" level="1">
      <sharedItems count="2">
        <s v="DEMOS_012"/>
        <s v="DEMOS_012A"/>
      </sharedItems>
    </cacheField>
  </cacheFields>
  <cacheHierarchies count="25">
    <cacheHierarchy uniqueName="[compare_com_desc  2].[com]" caption="com" attribute="1" defaultMemberUniqueName="[compare_com_desc  2].[com].[All]" allUniqueName="[compare_com_desc  2].[com].[All]" dimensionUniqueName="[compare_com_desc  2]" displayFolder="" count="0" memberValueDatatype="130" unbalanced="0"/>
    <cacheHierarchy uniqueName="[compare_com_desc  2].[com_desc]" caption="com_desc" attribute="1" defaultMemberUniqueName="[compare_com_desc  2].[com_desc].[All]" allUniqueName="[compare_com_desc  2].[com_desc].[All]" dimensionUniqueName="[compare_com_desc  2]" displayFolder="" count="0" memberValueDatatype="130" unbalanced="0"/>
    <cacheHierarchy uniqueName="[DemoS_012_report].[filename]" caption="filename" attribute="1" defaultMemberUniqueName="[DemoS_012_report].[filename].[All]" allUniqueName="[DemoS_012_report].[filename].[All]" dimensionUniqueName="[DemoS_012_report]" displayFolder="" count="0" memberValueDatatype="130" unbalanced="0"/>
    <cacheHierarchy uniqueName="[DemoS_012_report].[scen]" caption="scen" attribute="1" defaultMemberUniqueName="[DemoS_012_report].[scen].[All]" allUniqueName="[DemoS_012_report].[scen].[All]" dimensionUniqueName="[DemoS_012_report]" displayFolder="" count="2" memberValueDatatype="130" unbalanced="0">
      <fieldsUsage count="2">
        <fieldUsage x="-1"/>
        <fieldUsage x="6"/>
      </fieldsUsage>
    </cacheHierarchy>
    <cacheHierarchy uniqueName="[DemoS_012_report].[sector]" caption="sector" attribute="1" defaultMemberUniqueName="[DemoS_012_report].[sector].[All]" allUniqueName="[DemoS_012_report].[sector].[All]" dimensionUniqueName="[DemoS_012_report]" displayFolder="" count="0" memberValueDatatype="130" unbalanced="0"/>
    <cacheHierarchy uniqueName="[DemoS_012_report].[subsector]" caption="subsector" attribute="1" defaultMemberUniqueName="[DemoS_012_report].[subsector].[All]" allUniqueName="[DemoS_012_report].[subsector].[All]" dimensionUniqueName="[DemoS_012_report]" displayFolder="" count="0" memberValueDatatype="130" unbalanced="0"/>
    <cacheHierarchy uniqueName="[DemoS_012_report].[service]" caption="service" attribute="1" defaultMemberUniqueName="[DemoS_012_report].[service].[All]" allUniqueName="[DemoS_012_report].[service].[All]" dimensionUniqueName="[DemoS_012_report]" displayFolder="" count="0" memberValueDatatype="130" unbalanced="0"/>
    <cacheHierarchy uniqueName="[DemoS_012_report].[techgroup]" caption="techgroup" attribute="1" defaultMemberUniqueName="[DemoS_012_report].[techgroup].[All]" allUniqueName="[DemoS_012_report].[techgroup].[All]" dimensionUniqueName="[DemoS_012_report]" displayFolder="" count="0" memberValueDatatype="130" unbalanced="0"/>
    <cacheHierarchy uniqueName="[DemoS_012_report].[comgroup]" caption="comgroup" attribute="1" defaultMemberUniqueName="[DemoS_012_report].[comgroup].[All]" allUniqueName="[DemoS_012_report].[comgroup].[All]" dimensionUniqueName="[DemoS_012_report]" displayFolder="" count="0" memberValueDatatype="130" unbalanced="0"/>
    <cacheHierarchy uniqueName="[DemoS_012_report].[topic]" caption="topic" attribute="1" defaultMemberUniqueName="[DemoS_012_report].[topic].[All]" allUniqueName="[DemoS_012_report].[topic].[All]" dimensionUniqueName="[DemoS_012_report]" displayFolder="" count="2" memberValueDatatype="130" unbalanced="0">
      <fieldsUsage count="2">
        <fieldUsage x="-1"/>
        <fieldUsage x="3"/>
      </fieldsUsage>
    </cacheHierarchy>
    <cacheHierarchy uniqueName="[DemoS_012_report].[attr]" caption="attr" attribute="1" defaultMemberUniqueName="[DemoS_012_report].[attr].[All]" allUniqueName="[DemoS_012_report].[attr].[All]" dimensionUniqueName="[DemoS_012_report]" displayFolder="" count="2" memberValueDatatype="130" unbalanced="0">
      <fieldsUsage count="2">
        <fieldUsage x="-1"/>
        <fieldUsage x="1"/>
      </fieldsUsage>
    </cacheHierarchy>
    <cacheHierarchy uniqueName="[DemoS_012_report].[prc]" caption="prc" attribute="1" defaultMemberUniqueName="[DemoS_012_report].[prc].[All]" allUniqueName="[DemoS_012_report].[prc].[All]" dimensionUniqueName="[DemoS_012_report]" displayFolder="" count="0" memberValueDatatype="130" unbalanced="0"/>
    <cacheHierarchy uniqueName="[DemoS_012_report].[com]" caption="com" attribute="1" defaultMemberUniqueName="[DemoS_012_report].[com].[All]" allUniqueName="[DemoS_012_report].[com].[All]" dimensionUniqueName="[DemoS_012_report]" displayFolder="" count="2" memberValueDatatype="130" unbalanced="0">
      <fieldsUsage count="2">
        <fieldUsage x="-1"/>
        <fieldUsage x="5"/>
      </fieldsUsage>
    </cacheHierarchy>
    <cacheHierarchy uniqueName="[DemoS_012_report].[timeslice]" caption="timeslice" attribute="1" defaultMemberUniqueName="[DemoS_012_report].[timeslice].[All]" allUniqueName="[DemoS_012_report].[timeslice].[All]" dimensionUniqueName="[DemoS_012_report]" displayFolder="" count="0" memberValueDatatype="130" unbalanced="0"/>
    <cacheHierarchy uniqueName="[DemoS_012_report].[regionFrom]" caption="regionFrom" attribute="1" defaultMemberUniqueName="[DemoS_012_report].[regionFrom].[All]" allUniqueName="[DemoS_012_report].[regionFrom].[All]" dimensionUniqueName="[DemoS_012_report]" displayFolder="" count="0" memberValueDatatype="130" unbalanced="0"/>
    <cacheHierarchy uniqueName="[DemoS_012_report].[regionTo]" caption="regionTo" attribute="1" defaultMemberUniqueName="[DemoS_012_report].[regionTo].[All]" allUniqueName="[DemoS_012_report].[regionTo].[All]" dimensionUniqueName="[DemoS_012_report]" displayFolder="" count="0" memberValueDatatype="130" unbalanced="0"/>
    <cacheHierarchy uniqueName="[DemoS_012_report].[year]" caption="year" attribute="1" defaultMemberUniqueName="[DemoS_012_report].[year].[All]" allUniqueName="[DemoS_012_report].[year].[All]" dimensionUniqueName="[DemoS_012_report]" displayFolder="" count="2" memberValueDatatype="20" unbalanced="0">
      <fieldsUsage count="2">
        <fieldUsage x="-1"/>
        <fieldUsage x="2"/>
      </fieldsUsage>
    </cacheHierarchy>
    <cacheHierarchy uniqueName="[DemoS_012_report].[vntg]" caption="vntg" attribute="1" defaultMemberUniqueName="[DemoS_012_report].[vntg].[All]" allUniqueName="[DemoS_012_report].[vntg].[All]" dimensionUniqueName="[DemoS_012_report]" displayFolder="" count="0" memberValueDatatype="130" unbalanced="0"/>
    <cacheHierarchy uniqueName="[DemoS_012_report].[units]" caption="units" attribute="1" defaultMemberUniqueName="[DemoS_012_report].[units].[All]" allUniqueName="[DemoS_012_report].[units].[All]" dimensionUniqueName="[DemoS_012_report]" displayFolder="" count="2" memberValueDatatype="130" unbalanced="0">
      <fieldsUsage count="2">
        <fieldUsage x="-1"/>
        <fieldUsage x="4"/>
      </fieldsUsage>
    </cacheHierarchy>
    <cacheHierarchy uniqueName="[DemoS_012_report].[cur]" caption="cur" attribute="1" defaultMemberUniqueName="[DemoS_012_report].[cur].[All]" allUniqueName="[DemoS_012_report].[cur].[All]" dimensionUniqueName="[DemoS_012_report]" displayFolder="" count="0" memberValueDatatype="130" unbalanced="0"/>
    <cacheHierarchy uniqueName="[DemoS_012_report].[value]" caption="value" attribute="1" defaultMemberUniqueName="[DemoS_012_report].[value].[All]" allUniqueName="[DemoS_012_report].[value].[All]" dimensionUniqueName="[DemoS_012_report]" displayFolder="" count="0" memberValueDatatype="5" unbalanced="0"/>
    <cacheHierarchy uniqueName="[Measures].[__XL_Count DemoS_012_report]" caption="__XL_Count DemoS_012_report" measure="1" displayFolder="" measureGroup="DemoS_012_report" count="0" hidden="1"/>
    <cacheHierarchy uniqueName="[Measures].[__XL_Count compare_com_desc  2]" caption="__XL_Count compare_com_desc  2" measure="1" displayFolder="" measureGroup="compare_com_desc  2" count="0" hidden="1"/>
    <cacheHierarchy uniqueName="[Measures].[__No measures defined]" caption="__No measures defined" measure="1" displayFolder="" count="0" hidden="1"/>
    <cacheHierarchy uniqueName="[Measures].[Sum of value]" caption="Sum of value" measure="1" displayFolder="" measureGroup="DemoS_012_report"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3">
    <dimension name="compare_com_desc  2" uniqueName="[compare_com_desc  2]" caption="compare_com_desc  2"/>
    <dimension name="DemoS_012_report" uniqueName="[DemoS_012_report]" caption="DemoS_012_report"/>
    <dimension measure="1" name="Measures" uniqueName="[Measures]" caption="Measures"/>
  </dimensions>
  <measureGroups count="2">
    <measureGroup name="compare_com_desc  2" caption="compare_com_desc  2"/>
    <measureGroup name="DemoS_012_report" caption="DemoS_012_repor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offer Steen Andersen" refreshedDate="45729.678215162035" backgroundQuery="1" createdVersion="8" refreshedVersion="8" minRefreshableVersion="3" recordCount="0" supportSubquery="1" supportAdvancedDrill="1" xr:uid="{AAA18559-3834-42ED-9F92-EA7839C34FBC}">
  <cacheSource type="external" connectionId="3"/>
  <cacheFields count="8">
    <cacheField name="[DemoS_012_report].[sector].[sector]" caption="sector" numFmtId="0" hierarchy="4" level="1">
      <sharedItems containsSemiMixedTypes="0" containsNonDate="0" containsString="0"/>
    </cacheField>
    <cacheField name="[Measures].[Sum of value]" caption="Sum of value" numFmtId="0" hierarchy="24" level="32767"/>
    <cacheField name="[DemoS_012_report].[attr].[attr]" caption="attr" numFmtId="0" hierarchy="10" level="1">
      <sharedItems count="18">
        <s v="objfix"/>
        <s v="objinv"/>
        <s v="objsal"/>
        <s v="objvar"/>
        <s v="actc" u="1"/>
        <s v="actl" u="1"/>
        <s v="apri" u="1"/>
        <s v="cap_" u="1"/>
        <s v="f_in" u="1"/>
        <s v="fixc" u="1"/>
        <s v="floc" u="1"/>
        <s v="flor" u="1"/>
        <s v="fout" u="1"/>
        <s v="mpri" u="1"/>
        <s v="inv_" u="1"/>
        <s v="invc" u="1"/>
        <s v="levc" u="1"/>
        <s v="ncap" u="1"/>
      </sharedItems>
    </cacheField>
    <cacheField name="[DemoS_012_report].[year].[year]" caption="year" numFmtId="0" hierarchy="16" level="1">
      <sharedItems containsSemiMixedTypes="0" containsString="0" containsNumber="1" containsInteger="1" minValue="2005" maxValue="2050" count="11">
        <n v="2005"/>
        <n v="2006" u="1"/>
        <n v="2010" u="1"/>
        <n v="2015" u="1"/>
        <n v="2020" u="1"/>
        <n v="2025" u="1"/>
        <n v="2030" u="1"/>
        <n v="2035" u="1"/>
        <n v="2040" u="1"/>
        <n v="2045" u="1"/>
        <n v="2050" u="1"/>
      </sharedItems>
      <extLst>
        <ext xmlns:x15="http://schemas.microsoft.com/office/spreadsheetml/2010/11/main" uri="{4F2E5C28-24EA-4eb8-9CBF-B6C8F9C3D259}">
          <x15:cachedUniqueNames>
            <x15:cachedUniqueName index="0" name="[DemoS_012_report].[year].&amp;[2005]"/>
            <x15:cachedUniqueName index="1" name="[DemoS_012_report].[year].&amp;[2006]"/>
            <x15:cachedUniqueName index="2" name="[DemoS_012_report].[year].&amp;[2010]"/>
            <x15:cachedUniqueName index="3" name="[DemoS_012_report].[year].&amp;[2015]"/>
            <x15:cachedUniqueName index="4" name="[DemoS_012_report].[year].&amp;[2020]"/>
            <x15:cachedUniqueName index="5" name="[DemoS_012_report].[year].&amp;[2025]"/>
            <x15:cachedUniqueName index="6" name="[DemoS_012_report].[year].&amp;[2030]"/>
            <x15:cachedUniqueName index="7" name="[DemoS_012_report].[year].&amp;[2035]"/>
            <x15:cachedUniqueName index="8" name="[DemoS_012_report].[year].&amp;[2040]"/>
            <x15:cachedUniqueName index="9" name="[DemoS_012_report].[year].&amp;[2045]"/>
            <x15:cachedUniqueName index="10" name="[DemoS_012_report].[year].&amp;[2050]"/>
          </x15:cachedUniqueNames>
        </ext>
      </extLst>
    </cacheField>
    <cacheField name="[DemoS_012_report].[topic].[topic]" caption="topic" numFmtId="0" hierarchy="9" level="1">
      <sharedItems count="1">
        <s v="dcosts"/>
      </sharedItems>
    </cacheField>
    <cacheField name="[DemoS_012_report].[units].[units]" caption="units" numFmtId="0" hierarchy="18" level="1">
      <sharedItems containsSemiMixedTypes="0" containsNonDate="0" containsString="0"/>
    </cacheField>
    <cacheField name="[DemoS_012_report].[service].[service]" caption="service" numFmtId="0" hierarchy="6" level="1">
      <sharedItems containsSemiMixedTypes="0" containsNonDate="0" containsString="0"/>
    </cacheField>
    <cacheField name="[DemoS_012_report].[filename].[filename]" caption="filename" numFmtId="0" hierarchy="2" level="1">
      <sharedItems count="2">
        <s v="demos_012_TIMESreport"/>
        <s v="demos_012a_TIMESreport"/>
      </sharedItems>
    </cacheField>
  </cacheFields>
  <cacheHierarchies count="25">
    <cacheHierarchy uniqueName="[compare_com_desc  2].[com]" caption="com" attribute="1" defaultMemberUniqueName="[compare_com_desc  2].[com].[All]" allUniqueName="[compare_com_desc  2].[com].[All]" dimensionUniqueName="[compare_com_desc  2]" displayFolder="" count="0" memberValueDatatype="130" unbalanced="0"/>
    <cacheHierarchy uniqueName="[compare_com_desc  2].[com_desc]" caption="com_desc" attribute="1" defaultMemberUniqueName="[compare_com_desc  2].[com_desc].[All]" allUniqueName="[compare_com_desc  2].[com_desc].[All]" dimensionUniqueName="[compare_com_desc  2]" displayFolder="" count="0" memberValueDatatype="130" unbalanced="0"/>
    <cacheHierarchy uniqueName="[DemoS_012_report].[filename]" caption="filename" attribute="1" defaultMemberUniqueName="[DemoS_012_report].[filename].[All]" allUniqueName="[DemoS_012_report].[filename].[All]" dimensionUniqueName="[DemoS_012_report]" displayFolder="" count="2" memberValueDatatype="130" unbalanced="0">
      <fieldsUsage count="2">
        <fieldUsage x="-1"/>
        <fieldUsage x="7"/>
      </fieldsUsage>
    </cacheHierarchy>
    <cacheHierarchy uniqueName="[DemoS_012_report].[scen]" caption="scen" attribute="1" defaultMemberUniqueName="[DemoS_012_report].[scen].[All]" allUniqueName="[DemoS_012_report].[scen].[All]" dimensionUniqueName="[DemoS_012_report]" displayFolder="" count="0" memberValueDatatype="130" unbalanced="0"/>
    <cacheHierarchy uniqueName="[DemoS_012_report].[sector]" caption="sector" attribute="1" defaultMemberUniqueName="[DemoS_012_report].[sector].[All]" allUniqueName="[DemoS_012_report].[sector].[All]" dimensionUniqueName="[DemoS_012_report]" displayFolder="" count="2" memberValueDatatype="130" unbalanced="0">
      <fieldsUsage count="2">
        <fieldUsage x="-1"/>
        <fieldUsage x="0"/>
      </fieldsUsage>
    </cacheHierarchy>
    <cacheHierarchy uniqueName="[DemoS_012_report].[subsector]" caption="subsector" attribute="1" defaultMemberUniqueName="[DemoS_012_report].[subsector].[All]" allUniqueName="[DemoS_012_report].[subsector].[All]" dimensionUniqueName="[DemoS_012_report]" displayFolder="" count="0" memberValueDatatype="130" unbalanced="0"/>
    <cacheHierarchy uniqueName="[DemoS_012_report].[service]" caption="service" attribute="1" defaultMemberUniqueName="[DemoS_012_report].[service].[All]" allUniqueName="[DemoS_012_report].[service].[All]" dimensionUniqueName="[DemoS_012_report]" displayFolder="" count="2" memberValueDatatype="130" unbalanced="0">
      <fieldsUsage count="2">
        <fieldUsage x="-1"/>
        <fieldUsage x="6"/>
      </fieldsUsage>
    </cacheHierarchy>
    <cacheHierarchy uniqueName="[DemoS_012_report].[techgroup]" caption="techgroup" attribute="1" defaultMemberUniqueName="[DemoS_012_report].[techgroup].[All]" allUniqueName="[DemoS_012_report].[techgroup].[All]" dimensionUniqueName="[DemoS_012_report]" displayFolder="" count="0" memberValueDatatype="130" unbalanced="0"/>
    <cacheHierarchy uniqueName="[DemoS_012_report].[comgroup]" caption="comgroup" attribute="1" defaultMemberUniqueName="[DemoS_012_report].[comgroup].[All]" allUniqueName="[DemoS_012_report].[comgroup].[All]" dimensionUniqueName="[DemoS_012_report]" displayFolder="" count="0" memberValueDatatype="130" unbalanced="0"/>
    <cacheHierarchy uniqueName="[DemoS_012_report].[topic]" caption="topic" attribute="1" defaultMemberUniqueName="[DemoS_012_report].[topic].[All]" allUniqueName="[DemoS_012_report].[topic].[All]" dimensionUniqueName="[DemoS_012_report]" displayFolder="" count="2" memberValueDatatype="130" unbalanced="0">
      <fieldsUsage count="2">
        <fieldUsage x="-1"/>
        <fieldUsage x="4"/>
      </fieldsUsage>
    </cacheHierarchy>
    <cacheHierarchy uniqueName="[DemoS_012_report].[attr]" caption="attr" attribute="1" defaultMemberUniqueName="[DemoS_012_report].[attr].[All]" allUniqueName="[DemoS_012_report].[attr].[All]" dimensionUniqueName="[DemoS_012_report]" displayFolder="" count="2" memberValueDatatype="130" unbalanced="0">
      <fieldsUsage count="2">
        <fieldUsage x="-1"/>
        <fieldUsage x="2"/>
      </fieldsUsage>
    </cacheHierarchy>
    <cacheHierarchy uniqueName="[DemoS_012_report].[prc]" caption="prc" attribute="1" defaultMemberUniqueName="[DemoS_012_report].[prc].[All]" allUniqueName="[DemoS_012_report].[prc].[All]" dimensionUniqueName="[DemoS_012_report]" displayFolder="" count="0" memberValueDatatype="130" unbalanced="0"/>
    <cacheHierarchy uniqueName="[DemoS_012_report].[com]" caption="com" attribute="1" defaultMemberUniqueName="[DemoS_012_report].[com].[All]" allUniqueName="[DemoS_012_report].[com].[All]" dimensionUniqueName="[DemoS_012_report]" displayFolder="" count="0" memberValueDatatype="130" unbalanced="0"/>
    <cacheHierarchy uniqueName="[DemoS_012_report].[timeslice]" caption="timeslice" attribute="1" defaultMemberUniqueName="[DemoS_012_report].[timeslice].[All]" allUniqueName="[DemoS_012_report].[timeslice].[All]" dimensionUniqueName="[DemoS_012_report]" displayFolder="" count="0" memberValueDatatype="130" unbalanced="0"/>
    <cacheHierarchy uniqueName="[DemoS_012_report].[regionFrom]" caption="regionFrom" attribute="1" defaultMemberUniqueName="[DemoS_012_report].[regionFrom].[All]" allUniqueName="[DemoS_012_report].[regionFrom].[All]" dimensionUniqueName="[DemoS_012_report]" displayFolder="" count="0" memberValueDatatype="130" unbalanced="0"/>
    <cacheHierarchy uniqueName="[DemoS_012_report].[regionTo]" caption="regionTo" attribute="1" defaultMemberUniqueName="[DemoS_012_report].[regionTo].[All]" allUniqueName="[DemoS_012_report].[regionTo].[All]" dimensionUniqueName="[DemoS_012_report]" displayFolder="" count="0" memberValueDatatype="130" unbalanced="0"/>
    <cacheHierarchy uniqueName="[DemoS_012_report].[year]" caption="year" attribute="1" defaultMemberUniqueName="[DemoS_012_report].[year].[All]" allUniqueName="[DemoS_012_report].[year].[All]" dimensionUniqueName="[DemoS_012_report]" displayFolder="" count="2" memberValueDatatype="20" unbalanced="0">
      <fieldsUsage count="2">
        <fieldUsage x="-1"/>
        <fieldUsage x="3"/>
      </fieldsUsage>
    </cacheHierarchy>
    <cacheHierarchy uniqueName="[DemoS_012_report].[vntg]" caption="vntg" attribute="1" defaultMemberUniqueName="[DemoS_012_report].[vntg].[All]" allUniqueName="[DemoS_012_report].[vntg].[All]" dimensionUniqueName="[DemoS_012_report]" displayFolder="" count="0" memberValueDatatype="130" unbalanced="0"/>
    <cacheHierarchy uniqueName="[DemoS_012_report].[units]" caption="units" attribute="1" defaultMemberUniqueName="[DemoS_012_report].[units].[All]" allUniqueName="[DemoS_012_report].[units].[All]" dimensionUniqueName="[DemoS_012_report]" displayFolder="" count="2" memberValueDatatype="130" unbalanced="0">
      <fieldsUsage count="2">
        <fieldUsage x="-1"/>
        <fieldUsage x="5"/>
      </fieldsUsage>
    </cacheHierarchy>
    <cacheHierarchy uniqueName="[DemoS_012_report].[cur]" caption="cur" attribute="1" defaultMemberUniqueName="[DemoS_012_report].[cur].[All]" allUniqueName="[DemoS_012_report].[cur].[All]" dimensionUniqueName="[DemoS_012_report]" displayFolder="" count="0" memberValueDatatype="130" unbalanced="0"/>
    <cacheHierarchy uniqueName="[DemoS_012_report].[value]" caption="value" attribute="1" defaultMemberUniqueName="[DemoS_012_report].[value].[All]" allUniqueName="[DemoS_012_report].[value].[All]" dimensionUniqueName="[DemoS_012_report]" displayFolder="" count="0" memberValueDatatype="5" unbalanced="0"/>
    <cacheHierarchy uniqueName="[Measures].[__XL_Count DemoS_012_report]" caption="__XL_Count DemoS_012_report" measure="1" displayFolder="" measureGroup="DemoS_012_report" count="0" hidden="1"/>
    <cacheHierarchy uniqueName="[Measures].[__XL_Count compare_com_desc  2]" caption="__XL_Count compare_com_desc  2" measure="1" displayFolder="" measureGroup="compare_com_desc  2" count="0" hidden="1"/>
    <cacheHierarchy uniqueName="[Measures].[__No measures defined]" caption="__No measures defined" measure="1" displayFolder="" count="0" hidden="1"/>
    <cacheHierarchy uniqueName="[Measures].[Sum of value]" caption="Sum of value" measure="1" displayFolder="" measureGroup="DemoS_012_report"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3">
    <dimension name="compare_com_desc  2" uniqueName="[compare_com_desc  2]" caption="compare_com_desc  2"/>
    <dimension name="DemoS_012_report" uniqueName="[DemoS_012_report]" caption="DemoS_012_report"/>
    <dimension measure="1" name="Measures" uniqueName="[Measures]" caption="Measures"/>
  </dimensions>
  <measureGroups count="2">
    <measureGroup name="compare_com_desc  2" caption="compare_com_desc  2"/>
    <measureGroup name="DemoS_012_report" caption="DemoS_012_repor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offer Steen Andersen" refreshedDate="45729.678215162035" backgroundQuery="1" createdVersion="3" refreshedVersion="8" minRefreshableVersion="3" recordCount="0" supportSubquery="1" supportAdvancedDrill="1" xr:uid="{1D4678B4-CFDB-47A9-AD48-02247156860A}">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compare_com_desc  2].[com]" caption="com" attribute="1" defaultMemberUniqueName="[compare_com_desc  2].[com].[All]" allUniqueName="[compare_com_desc  2].[com].[All]" dimensionUniqueName="[compare_com_desc  2]" displayFolder="" count="0" memberValueDatatype="130" unbalanced="0"/>
    <cacheHierarchy uniqueName="[compare_com_desc  2].[com_desc]" caption="com_desc" attribute="1" defaultMemberUniqueName="[compare_com_desc  2].[com_desc].[All]" allUniqueName="[compare_com_desc  2].[com_desc].[All]" dimensionUniqueName="[compare_com_desc  2]" displayFolder="" count="0" memberValueDatatype="130" unbalanced="0"/>
    <cacheHierarchy uniqueName="[DemoS_012_report].[filename]" caption="filename" attribute="1" defaultMemberUniqueName="[DemoS_012_report].[filename].[All]" allUniqueName="[DemoS_012_report].[filename].[All]" dimensionUniqueName="[DemoS_012_report]" displayFolder="" count="0" memberValueDatatype="130" unbalanced="0"/>
    <cacheHierarchy uniqueName="[DemoS_012_report].[scen]" caption="scen" attribute="1" defaultMemberUniqueName="[DemoS_012_report].[scen].[All]" allUniqueName="[DemoS_012_report].[scen].[All]" dimensionUniqueName="[DemoS_012_report]" displayFolder="" count="0" memberValueDatatype="130" unbalanced="0"/>
    <cacheHierarchy uniqueName="[DemoS_012_report].[sector]" caption="sector" attribute="1" defaultMemberUniqueName="[DemoS_012_report].[sector].[All]" allUniqueName="[DemoS_012_report].[sector].[All]" dimensionUniqueName="[DemoS_012_report]" displayFolder="" count="0" memberValueDatatype="130" unbalanced="0"/>
    <cacheHierarchy uniqueName="[DemoS_012_report].[subsector]" caption="subsector" attribute="1" defaultMemberUniqueName="[DemoS_012_report].[subsector].[All]" allUniqueName="[DemoS_012_report].[subsector].[All]" dimensionUniqueName="[DemoS_012_report]" displayFolder="" count="0" memberValueDatatype="130" unbalanced="0"/>
    <cacheHierarchy uniqueName="[DemoS_012_report].[service]" caption="service" attribute="1" defaultMemberUniqueName="[DemoS_012_report].[service].[All]" allUniqueName="[DemoS_012_report].[service].[All]" dimensionUniqueName="[DemoS_012_report]" displayFolder="" count="0" memberValueDatatype="130" unbalanced="0"/>
    <cacheHierarchy uniqueName="[DemoS_012_report].[techgroup]" caption="techgroup" attribute="1" defaultMemberUniqueName="[DemoS_012_report].[techgroup].[All]" allUniqueName="[DemoS_012_report].[techgroup].[All]" dimensionUniqueName="[DemoS_012_report]" displayFolder="" count="0" memberValueDatatype="130" unbalanced="0"/>
    <cacheHierarchy uniqueName="[DemoS_012_report].[comgroup]" caption="comgroup" attribute="1" defaultMemberUniqueName="[DemoS_012_report].[comgroup].[All]" allUniqueName="[DemoS_012_report].[comgroup].[All]" dimensionUniqueName="[DemoS_012_report]" displayFolder="" count="0" memberValueDatatype="130" unbalanced="0"/>
    <cacheHierarchy uniqueName="[DemoS_012_report].[topic]" caption="topic" attribute="1" defaultMemberUniqueName="[DemoS_012_report].[topic].[All]" allUniqueName="[DemoS_012_report].[topic].[All]" dimensionUniqueName="[DemoS_012_report]" displayFolder="" count="0" memberValueDatatype="130" unbalanced="0"/>
    <cacheHierarchy uniqueName="[DemoS_012_report].[attr]" caption="attr" attribute="1" defaultMemberUniqueName="[DemoS_012_report].[attr].[All]" allUniqueName="[DemoS_012_report].[attr].[All]" dimensionUniqueName="[DemoS_012_report]" displayFolder="" count="0" memberValueDatatype="130" unbalanced="0"/>
    <cacheHierarchy uniqueName="[DemoS_012_report].[prc]" caption="prc" attribute="1" defaultMemberUniqueName="[DemoS_012_report].[prc].[All]" allUniqueName="[DemoS_012_report].[prc].[All]" dimensionUniqueName="[DemoS_012_report]" displayFolder="" count="0" memberValueDatatype="130" unbalanced="0"/>
    <cacheHierarchy uniqueName="[DemoS_012_report].[com]" caption="com" attribute="1" defaultMemberUniqueName="[DemoS_012_report].[com].[All]" allUniqueName="[DemoS_012_report].[com].[All]" dimensionUniqueName="[DemoS_012_report]" displayFolder="" count="0" memberValueDatatype="130" unbalanced="0"/>
    <cacheHierarchy uniqueName="[DemoS_012_report].[timeslice]" caption="timeslice" attribute="1" defaultMemberUniqueName="[DemoS_012_report].[timeslice].[All]" allUniqueName="[DemoS_012_report].[timeslice].[All]" dimensionUniqueName="[DemoS_012_report]" displayFolder="" count="0" memberValueDatatype="130" unbalanced="0"/>
    <cacheHierarchy uniqueName="[DemoS_012_report].[regionFrom]" caption="regionFrom" attribute="1" defaultMemberUniqueName="[DemoS_012_report].[regionFrom].[All]" allUniqueName="[DemoS_012_report].[regionFrom].[All]" dimensionUniqueName="[DemoS_012_report]" displayFolder="" count="0" memberValueDatatype="130" unbalanced="0"/>
    <cacheHierarchy uniqueName="[DemoS_012_report].[regionTo]" caption="regionTo" attribute="1" defaultMemberUniqueName="[DemoS_012_report].[regionTo].[All]" allUniqueName="[DemoS_012_report].[regionTo].[All]" dimensionUniqueName="[DemoS_012_report]" displayFolder="" count="0" memberValueDatatype="130" unbalanced="0"/>
    <cacheHierarchy uniqueName="[DemoS_012_report].[year]" caption="year" attribute="1" defaultMemberUniqueName="[DemoS_012_report].[year].[All]" allUniqueName="[DemoS_012_report].[year].[All]" dimensionUniqueName="[DemoS_012_report]" displayFolder="" count="2" memberValueDatatype="20" unbalanced="0"/>
    <cacheHierarchy uniqueName="[DemoS_012_report].[vntg]" caption="vntg" attribute="1" defaultMemberUniqueName="[DemoS_012_report].[vntg].[All]" allUniqueName="[DemoS_012_report].[vntg].[All]" dimensionUniqueName="[DemoS_012_report]" displayFolder="" count="0" memberValueDatatype="130" unbalanced="0"/>
    <cacheHierarchy uniqueName="[DemoS_012_report].[units]" caption="units" attribute="1" defaultMemberUniqueName="[DemoS_012_report].[units].[All]" allUniqueName="[DemoS_012_report].[units].[All]" dimensionUniqueName="[DemoS_012_report]" displayFolder="" count="0" memberValueDatatype="130" unbalanced="0"/>
    <cacheHierarchy uniqueName="[DemoS_012_report].[cur]" caption="cur" attribute="1" defaultMemberUniqueName="[DemoS_012_report].[cur].[All]" allUniqueName="[DemoS_012_report].[cur].[All]" dimensionUniqueName="[DemoS_012_report]" displayFolder="" count="0" memberValueDatatype="130" unbalanced="0"/>
    <cacheHierarchy uniqueName="[DemoS_012_report].[value]" caption="value" attribute="1" defaultMemberUniqueName="[DemoS_012_report].[value].[All]" allUniqueName="[DemoS_012_report].[value].[All]" dimensionUniqueName="[DemoS_012_report]" displayFolder="" count="0" memberValueDatatype="5" unbalanced="0"/>
    <cacheHierarchy uniqueName="[Measures].[__XL_Count DemoS_012_report]" caption="__XL_Count DemoS_012_report" measure="1" displayFolder="" measureGroup="DemoS_012_report" count="0" hidden="1"/>
    <cacheHierarchy uniqueName="[Measures].[__XL_Count compare_com_desc  2]" caption="__XL_Count compare_com_desc  2" measure="1" displayFolder="" measureGroup="compare_com_desc  2" count="0" hidden="1"/>
    <cacheHierarchy uniqueName="[Measures].[__No measures defined]" caption="__No measures defined" measure="1" displayFolder="" count="0" hidden="1"/>
    <cacheHierarchy uniqueName="[Measures].[Sum of value]" caption="Sum of value" measure="1" displayFolder="" measureGroup="DemoS_012_report"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6509416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F5E644-DC6A-445C-AC1D-A8E7C39D3463}" name="PivotTable2" cacheId="117" applyNumberFormats="0" applyBorderFormats="0" applyFontFormats="0" applyPatternFormats="0" applyAlignmentFormats="0" applyWidthHeightFormats="1" dataCaption="Values" tag="5b293b99-7e9d-4df7-b240-d14f41dc099b" updatedVersion="8" minRefreshableVersion="3" useAutoFormatting="1" subtotalHiddenItems="1" rowGrandTotals="0" itemPrintTitles="1" createdVersion="8" indent="0" outline="1" outlineData="1" multipleFieldFilters="0" chartFormat="4">
  <location ref="A6:F10" firstHeaderRow="1" firstDataRow="3" firstDataCol="1" rowPageCount="4" colPageCount="1"/>
  <pivotFields count="8">
    <pivotField axis="axisPage" allDrilled="1" subtotalTop="0" showAll="0" dataSourceSort="1" defaultSubtotal="0" defaultAttributeDrillState="1"/>
    <pivotField dataField="1" subtotalTop="0" showAll="0" defaultSubtotal="0"/>
    <pivotField axis="axisCol" allDrilled="1" subtotalTop="0" showAll="0" defaultSubtotal="0" defaultAttributeDrillState="1">
      <items count="18">
        <item x="1"/>
        <item x="0"/>
        <item x="3"/>
        <item x="2"/>
        <item x="4"/>
        <item x="5"/>
        <item x="6"/>
        <item x="7"/>
        <item x="8"/>
        <item x="9"/>
        <item x="10"/>
        <item x="11"/>
        <item x="12"/>
        <item x="13"/>
        <item x="14"/>
        <item x="15"/>
        <item x="16"/>
        <item x="17"/>
      </items>
    </pivotField>
    <pivotField axis="axisCol" allDrilled="1" subtotalTop="0" showAll="0" dataSourceSort="1" defaultSubtotal="0" defaultAttributeDrillState="1">
      <items count="11">
        <item x="0"/>
        <item x="1"/>
        <item x="2"/>
        <item x="3"/>
        <item x="4"/>
        <item x="5"/>
        <item x="6"/>
        <item x="7"/>
        <item x="8"/>
        <item x="9"/>
        <item x="10"/>
      </items>
    </pivotField>
    <pivotField axis="axisPage" allDrilled="1" subtotalTop="0" showAll="0" defaultSubtotal="0" defaultAttributeDrillState="1">
      <items count="1">
        <item s="1" x="0"/>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7"/>
  </rowFields>
  <rowItems count="2">
    <i>
      <x/>
    </i>
    <i>
      <x v="1"/>
    </i>
  </rowItems>
  <colFields count="2">
    <field x="3"/>
    <field x="2"/>
  </colFields>
  <colItems count="5">
    <i>
      <x/>
      <x/>
    </i>
    <i r="1">
      <x v="1"/>
    </i>
    <i r="1">
      <x v="2"/>
    </i>
    <i r="1">
      <x v="3"/>
    </i>
    <i t="grand">
      <x/>
    </i>
  </colItems>
  <pageFields count="4">
    <pageField fld="0" hier="4" name="[DemoS_012_report].[sector].&amp;[SYS]" cap="SYS"/>
    <pageField fld="4" hier="9" name="[DemoS_012_report].[topic].[All]" cap="All"/>
    <pageField fld="5" hier="18" name="[DemoS_012_report].[units].[All]" cap="All"/>
    <pageField fld="6" hier="6" name="[DemoS_012_report].[service].[All]" cap="All"/>
  </pageFields>
  <dataFields count="1">
    <dataField name="Sum of value" fld="1" baseField="6" baseItem="0" numFmtId="1"/>
  </dataFields>
  <chartFormats count="154">
    <chartFormat chart="0" format="0" series="1">
      <pivotArea type="data" outline="0" fieldPosition="0">
        <references count="3">
          <reference field="4294967294" count="1" selected="0">
            <x v="0"/>
          </reference>
          <reference field="2" count="1" selected="0">
            <x v="1"/>
          </reference>
          <reference field="3" count="1" selected="0">
            <x v="0"/>
          </reference>
        </references>
      </pivotArea>
    </chartFormat>
    <chartFormat chart="0" format="1" series="1">
      <pivotArea type="data" outline="0" fieldPosition="0">
        <references count="3">
          <reference field="4294967294" count="1" selected="0">
            <x v="0"/>
          </reference>
          <reference field="2" count="1" selected="0">
            <x v="0"/>
          </reference>
          <reference field="3" count="1" selected="0">
            <x v="0"/>
          </reference>
        </references>
      </pivotArea>
    </chartFormat>
    <chartFormat chart="0" format="2" series="1">
      <pivotArea type="data" outline="0" fieldPosition="0">
        <references count="3">
          <reference field="4294967294" count="1" selected="0">
            <x v="0"/>
          </reference>
          <reference field="2" count="1" selected="0">
            <x v="3"/>
          </reference>
          <reference field="3" count="1" selected="0">
            <x v="0"/>
          </reference>
        </references>
      </pivotArea>
    </chartFormat>
    <chartFormat chart="0" format="3" series="1">
      <pivotArea type="data" outline="0" fieldPosition="0">
        <references count="3">
          <reference field="4294967294" count="1" selected="0">
            <x v="0"/>
          </reference>
          <reference field="2" count="1" selected="0">
            <x v="2"/>
          </reference>
          <reference field="3" count="1" selected="0">
            <x v="0"/>
          </reference>
        </references>
      </pivotArea>
    </chartFormat>
    <chartFormat chart="0" format="4" series="1">
      <pivotArea type="data" outline="0" fieldPosition="0">
        <references count="3">
          <reference field="4294967294" count="1" selected="0">
            <x v="0"/>
          </reference>
          <reference field="2" count="1" selected="0">
            <x v="4"/>
          </reference>
          <reference field="3" count="1" selected="0">
            <x v="0"/>
          </reference>
        </references>
      </pivotArea>
    </chartFormat>
    <chartFormat chart="0" format="5" series="1">
      <pivotArea type="data" outline="0" fieldPosition="0">
        <references count="3">
          <reference field="4294967294" count="1" selected="0">
            <x v="0"/>
          </reference>
          <reference field="2" count="1" selected="0">
            <x v="5"/>
          </reference>
          <reference field="3" count="1" selected="0">
            <x v="0"/>
          </reference>
        </references>
      </pivotArea>
    </chartFormat>
    <chartFormat chart="0" format="6" series="1">
      <pivotArea type="data" outline="0" fieldPosition="0">
        <references count="3">
          <reference field="4294967294" count="1" selected="0">
            <x v="0"/>
          </reference>
          <reference field="2" count="1" selected="0">
            <x v="6"/>
          </reference>
          <reference field="3" count="1" selected="0">
            <x v="0"/>
          </reference>
        </references>
      </pivotArea>
    </chartFormat>
    <chartFormat chart="0" format="7" series="1">
      <pivotArea type="data" outline="0" fieldPosition="0">
        <references count="3">
          <reference field="4294967294" count="1" selected="0">
            <x v="0"/>
          </reference>
          <reference field="2" count="1" selected="0">
            <x v="7"/>
          </reference>
          <reference field="3" count="1" selected="0">
            <x v="0"/>
          </reference>
        </references>
      </pivotArea>
    </chartFormat>
    <chartFormat chart="0" format="8" series="1">
      <pivotArea type="data" outline="0" fieldPosition="0">
        <references count="3">
          <reference field="4294967294" count="1" selected="0">
            <x v="0"/>
          </reference>
          <reference field="2" count="1" selected="0">
            <x v="8"/>
          </reference>
          <reference field="3" count="1" selected="0">
            <x v="0"/>
          </reference>
        </references>
      </pivotArea>
    </chartFormat>
    <chartFormat chart="0" format="9" series="1">
      <pivotArea type="data" outline="0" fieldPosition="0">
        <references count="3">
          <reference field="4294967294" count="1" selected="0">
            <x v="0"/>
          </reference>
          <reference field="2" count="1" selected="0">
            <x v="9"/>
          </reference>
          <reference field="3" count="1" selected="0">
            <x v="0"/>
          </reference>
        </references>
      </pivotArea>
    </chartFormat>
    <chartFormat chart="0" format="10" series="1">
      <pivotArea type="data" outline="0" fieldPosition="0">
        <references count="3">
          <reference field="4294967294" count="1" selected="0">
            <x v="0"/>
          </reference>
          <reference field="2" count="1" selected="0">
            <x v="10"/>
          </reference>
          <reference field="3" count="1" selected="0">
            <x v="0"/>
          </reference>
        </references>
      </pivotArea>
    </chartFormat>
    <chartFormat chart="0" format="11" series="1">
      <pivotArea type="data" outline="0" fieldPosition="0">
        <references count="3">
          <reference field="4294967294" count="1" selected="0">
            <x v="0"/>
          </reference>
          <reference field="2" count="1" selected="0">
            <x v="11"/>
          </reference>
          <reference field="3" count="1" selected="0">
            <x v="0"/>
          </reference>
        </references>
      </pivotArea>
    </chartFormat>
    <chartFormat chart="0" format="12" series="1">
      <pivotArea type="data" outline="0" fieldPosition="0">
        <references count="3">
          <reference field="4294967294" count="1" selected="0">
            <x v="0"/>
          </reference>
          <reference field="2" count="1" selected="0">
            <x v="12"/>
          </reference>
          <reference field="3" count="1" selected="0">
            <x v="0"/>
          </reference>
        </references>
      </pivotArea>
    </chartFormat>
    <chartFormat chart="0" format="13" series="1">
      <pivotArea type="data" outline="0" fieldPosition="0">
        <references count="3">
          <reference field="4294967294" count="1" selected="0">
            <x v="0"/>
          </reference>
          <reference field="2" count="1" selected="0">
            <x v="13"/>
          </reference>
          <reference field="3" count="1" selected="0">
            <x v="0"/>
          </reference>
        </references>
      </pivotArea>
    </chartFormat>
    <chartFormat chart="0" format="14" series="1">
      <pivotArea type="data" outline="0" fieldPosition="0">
        <references count="3">
          <reference field="4294967294" count="1" selected="0">
            <x v="0"/>
          </reference>
          <reference field="2" count="1" selected="0">
            <x v="4"/>
          </reference>
          <reference field="3" count="1" selected="0">
            <x v="1"/>
          </reference>
        </references>
      </pivotArea>
    </chartFormat>
    <chartFormat chart="0" format="15" series="1">
      <pivotArea type="data" outline="0" fieldPosition="0">
        <references count="3">
          <reference field="4294967294" count="1" selected="0">
            <x v="0"/>
          </reference>
          <reference field="2" count="1" selected="0">
            <x v="5"/>
          </reference>
          <reference field="3" count="1" selected="0">
            <x v="1"/>
          </reference>
        </references>
      </pivotArea>
    </chartFormat>
    <chartFormat chart="0" format="16" series="1">
      <pivotArea type="data" outline="0" fieldPosition="0">
        <references count="3">
          <reference field="4294967294" count="1" selected="0">
            <x v="0"/>
          </reference>
          <reference field="2" count="1" selected="0">
            <x v="6"/>
          </reference>
          <reference field="3" count="1" selected="0">
            <x v="1"/>
          </reference>
        </references>
      </pivotArea>
    </chartFormat>
    <chartFormat chart="0" format="17" series="1">
      <pivotArea type="data" outline="0" fieldPosition="0">
        <references count="3">
          <reference field="4294967294" count="1" selected="0">
            <x v="0"/>
          </reference>
          <reference field="2" count="1" selected="0">
            <x v="7"/>
          </reference>
          <reference field="3" count="1" selected="0">
            <x v="1"/>
          </reference>
        </references>
      </pivotArea>
    </chartFormat>
    <chartFormat chart="0" format="18" series="1">
      <pivotArea type="data" outline="0" fieldPosition="0">
        <references count="3">
          <reference field="4294967294" count="1" selected="0">
            <x v="0"/>
          </reference>
          <reference field="2" count="1" selected="0">
            <x v="8"/>
          </reference>
          <reference field="3" count="1" selected="0">
            <x v="1"/>
          </reference>
        </references>
      </pivotArea>
    </chartFormat>
    <chartFormat chart="0" format="19" series="1">
      <pivotArea type="data" outline="0" fieldPosition="0">
        <references count="3">
          <reference field="4294967294" count="1" selected="0">
            <x v="0"/>
          </reference>
          <reference field="2" count="1" selected="0">
            <x v="9"/>
          </reference>
          <reference field="3" count="1" selected="0">
            <x v="1"/>
          </reference>
        </references>
      </pivotArea>
    </chartFormat>
    <chartFormat chart="0" format="20" series="1">
      <pivotArea type="data" outline="0" fieldPosition="0">
        <references count="3">
          <reference field="4294967294" count="1" selected="0">
            <x v="0"/>
          </reference>
          <reference field="2" count="1" selected="0">
            <x v="10"/>
          </reference>
          <reference field="3" count="1" selected="0">
            <x v="1"/>
          </reference>
        </references>
      </pivotArea>
    </chartFormat>
    <chartFormat chart="0" format="21" series="1">
      <pivotArea type="data" outline="0" fieldPosition="0">
        <references count="3">
          <reference field="4294967294" count="1" selected="0">
            <x v="0"/>
          </reference>
          <reference field="2" count="1" selected="0">
            <x v="11"/>
          </reference>
          <reference field="3" count="1" selected="0">
            <x v="1"/>
          </reference>
        </references>
      </pivotArea>
    </chartFormat>
    <chartFormat chart="0" format="22" series="1">
      <pivotArea type="data" outline="0" fieldPosition="0">
        <references count="3">
          <reference field="4294967294" count="1" selected="0">
            <x v="0"/>
          </reference>
          <reference field="2" count="1" selected="0">
            <x v="12"/>
          </reference>
          <reference field="3" count="1" selected="0">
            <x v="1"/>
          </reference>
        </references>
      </pivotArea>
    </chartFormat>
    <chartFormat chart="0" format="23" series="1">
      <pivotArea type="data" outline="0" fieldPosition="0">
        <references count="3">
          <reference field="4294967294" count="1" selected="0">
            <x v="0"/>
          </reference>
          <reference field="2" count="1" selected="0">
            <x v="13"/>
          </reference>
          <reference field="3" count="1" selected="0">
            <x v="1"/>
          </reference>
        </references>
      </pivotArea>
    </chartFormat>
    <chartFormat chart="0" format="24" series="1">
      <pivotArea type="data" outline="0" fieldPosition="0">
        <references count="3">
          <reference field="4294967294" count="1" selected="0">
            <x v="0"/>
          </reference>
          <reference field="2" count="1" selected="0">
            <x v="14"/>
          </reference>
          <reference field="3" count="1" selected="0">
            <x v="1"/>
          </reference>
        </references>
      </pivotArea>
    </chartFormat>
    <chartFormat chart="0" format="25" series="1">
      <pivotArea type="data" outline="0" fieldPosition="0">
        <references count="3">
          <reference field="4294967294" count="1" selected="0">
            <x v="0"/>
          </reference>
          <reference field="2" count="1" selected="0">
            <x v="15"/>
          </reference>
          <reference field="3" count="1" selected="0">
            <x v="1"/>
          </reference>
        </references>
      </pivotArea>
    </chartFormat>
    <chartFormat chart="0" format="26" series="1">
      <pivotArea type="data" outline="0" fieldPosition="0">
        <references count="3">
          <reference field="4294967294" count="1" selected="0">
            <x v="0"/>
          </reference>
          <reference field="2" count="1" selected="0">
            <x v="16"/>
          </reference>
          <reference field="3" count="1" selected="0">
            <x v="1"/>
          </reference>
        </references>
      </pivotArea>
    </chartFormat>
    <chartFormat chart="0" format="27" series="1">
      <pivotArea type="data" outline="0" fieldPosition="0">
        <references count="3">
          <reference field="4294967294" count="1" selected="0">
            <x v="0"/>
          </reference>
          <reference field="2" count="1" selected="0">
            <x v="17"/>
          </reference>
          <reference field="3" count="1" selected="0">
            <x v="1"/>
          </reference>
        </references>
      </pivotArea>
    </chartFormat>
    <chartFormat chart="0" format="28" series="1">
      <pivotArea type="data" outline="0" fieldPosition="0">
        <references count="3">
          <reference field="4294967294" count="1" selected="0">
            <x v="0"/>
          </reference>
          <reference field="2" count="1" selected="0">
            <x v="4"/>
          </reference>
          <reference field="3" count="1" selected="0">
            <x v="2"/>
          </reference>
        </references>
      </pivotArea>
    </chartFormat>
    <chartFormat chart="0" format="29" series="1">
      <pivotArea type="data" outline="0" fieldPosition="0">
        <references count="3">
          <reference field="4294967294" count="1" selected="0">
            <x v="0"/>
          </reference>
          <reference field="2" count="1" selected="0">
            <x v="5"/>
          </reference>
          <reference field="3" count="1" selected="0">
            <x v="2"/>
          </reference>
        </references>
      </pivotArea>
    </chartFormat>
    <chartFormat chart="0" format="30" series="1">
      <pivotArea type="data" outline="0" fieldPosition="0">
        <references count="3">
          <reference field="4294967294" count="1" selected="0">
            <x v="0"/>
          </reference>
          <reference field="2" count="1" selected="0">
            <x v="6"/>
          </reference>
          <reference field="3" count="1" selected="0">
            <x v="2"/>
          </reference>
        </references>
      </pivotArea>
    </chartFormat>
    <chartFormat chart="0" format="31" series="1">
      <pivotArea type="data" outline="0" fieldPosition="0">
        <references count="3">
          <reference field="4294967294" count="1" selected="0">
            <x v="0"/>
          </reference>
          <reference field="2" count="1" selected="0">
            <x v="7"/>
          </reference>
          <reference field="3" count="1" selected="0">
            <x v="2"/>
          </reference>
        </references>
      </pivotArea>
    </chartFormat>
    <chartFormat chart="0" format="32" series="1">
      <pivotArea type="data" outline="0" fieldPosition="0">
        <references count="3">
          <reference field="4294967294" count="1" selected="0">
            <x v="0"/>
          </reference>
          <reference field="2" count="1" selected="0">
            <x v="8"/>
          </reference>
          <reference field="3" count="1" selected="0">
            <x v="2"/>
          </reference>
        </references>
      </pivotArea>
    </chartFormat>
    <chartFormat chart="0" format="33" series="1">
      <pivotArea type="data" outline="0" fieldPosition="0">
        <references count="3">
          <reference field="4294967294" count="1" selected="0">
            <x v="0"/>
          </reference>
          <reference field="2" count="1" selected="0">
            <x v="9"/>
          </reference>
          <reference field="3" count="1" selected="0">
            <x v="2"/>
          </reference>
        </references>
      </pivotArea>
    </chartFormat>
    <chartFormat chart="0" format="34" series="1">
      <pivotArea type="data" outline="0" fieldPosition="0">
        <references count="3">
          <reference field="4294967294" count="1" selected="0">
            <x v="0"/>
          </reference>
          <reference field="2" count="1" selected="0">
            <x v="10"/>
          </reference>
          <reference field="3" count="1" selected="0">
            <x v="2"/>
          </reference>
        </references>
      </pivotArea>
    </chartFormat>
    <chartFormat chart="0" format="35" series="1">
      <pivotArea type="data" outline="0" fieldPosition="0">
        <references count="3">
          <reference field="4294967294" count="1" selected="0">
            <x v="0"/>
          </reference>
          <reference field="2" count="1" selected="0">
            <x v="11"/>
          </reference>
          <reference field="3" count="1" selected="0">
            <x v="2"/>
          </reference>
        </references>
      </pivotArea>
    </chartFormat>
    <chartFormat chart="0" format="36" series="1">
      <pivotArea type="data" outline="0" fieldPosition="0">
        <references count="3">
          <reference field="4294967294" count="1" selected="0">
            <x v="0"/>
          </reference>
          <reference field="2" count="1" selected="0">
            <x v="12"/>
          </reference>
          <reference field="3" count="1" selected="0">
            <x v="2"/>
          </reference>
        </references>
      </pivotArea>
    </chartFormat>
    <chartFormat chart="0" format="37" series="1">
      <pivotArea type="data" outline="0" fieldPosition="0">
        <references count="3">
          <reference field="4294967294" count="1" selected="0">
            <x v="0"/>
          </reference>
          <reference field="2" count="1" selected="0">
            <x v="13"/>
          </reference>
          <reference field="3" count="1" selected="0">
            <x v="2"/>
          </reference>
        </references>
      </pivotArea>
    </chartFormat>
    <chartFormat chart="0" format="38" series="1">
      <pivotArea type="data" outline="0" fieldPosition="0">
        <references count="3">
          <reference field="4294967294" count="1" selected="0">
            <x v="0"/>
          </reference>
          <reference field="2" count="1" selected="0">
            <x v="14"/>
          </reference>
          <reference field="3" count="1" selected="0">
            <x v="2"/>
          </reference>
        </references>
      </pivotArea>
    </chartFormat>
    <chartFormat chart="0" format="39" series="1">
      <pivotArea type="data" outline="0" fieldPosition="0">
        <references count="3">
          <reference field="4294967294" count="1" selected="0">
            <x v="0"/>
          </reference>
          <reference field="2" count="1" selected="0">
            <x v="15"/>
          </reference>
          <reference field="3" count="1" selected="0">
            <x v="2"/>
          </reference>
        </references>
      </pivotArea>
    </chartFormat>
    <chartFormat chart="0" format="40" series="1">
      <pivotArea type="data" outline="0" fieldPosition="0">
        <references count="3">
          <reference field="4294967294" count="1" selected="0">
            <x v="0"/>
          </reference>
          <reference field="2" count="1" selected="0">
            <x v="16"/>
          </reference>
          <reference field="3" count="1" selected="0">
            <x v="2"/>
          </reference>
        </references>
      </pivotArea>
    </chartFormat>
    <chartFormat chart="0" format="41" series="1">
      <pivotArea type="data" outline="0" fieldPosition="0">
        <references count="3">
          <reference field="4294967294" count="1" selected="0">
            <x v="0"/>
          </reference>
          <reference field="2" count="1" selected="0">
            <x v="17"/>
          </reference>
          <reference field="3" count="1" selected="0">
            <x v="2"/>
          </reference>
        </references>
      </pivotArea>
    </chartFormat>
    <chartFormat chart="0" format="42" series="1">
      <pivotArea type="data" outline="0" fieldPosition="0">
        <references count="3">
          <reference field="4294967294" count="1" selected="0">
            <x v="0"/>
          </reference>
          <reference field="2" count="1" selected="0">
            <x v="4"/>
          </reference>
          <reference field="3" count="1" selected="0">
            <x v="3"/>
          </reference>
        </references>
      </pivotArea>
    </chartFormat>
    <chartFormat chart="0" format="43" series="1">
      <pivotArea type="data" outline="0" fieldPosition="0">
        <references count="3">
          <reference field="4294967294" count="1" selected="0">
            <x v="0"/>
          </reference>
          <reference field="2" count="1" selected="0">
            <x v="5"/>
          </reference>
          <reference field="3" count="1" selected="0">
            <x v="3"/>
          </reference>
        </references>
      </pivotArea>
    </chartFormat>
    <chartFormat chart="0" format="44" series="1">
      <pivotArea type="data" outline="0" fieldPosition="0">
        <references count="3">
          <reference field="4294967294" count="1" selected="0">
            <x v="0"/>
          </reference>
          <reference field="2" count="1" selected="0">
            <x v="6"/>
          </reference>
          <reference field="3" count="1" selected="0">
            <x v="3"/>
          </reference>
        </references>
      </pivotArea>
    </chartFormat>
    <chartFormat chart="0" format="45" series="1">
      <pivotArea type="data" outline="0" fieldPosition="0">
        <references count="3">
          <reference field="4294967294" count="1" selected="0">
            <x v="0"/>
          </reference>
          <reference field="2" count="1" selected="0">
            <x v="7"/>
          </reference>
          <reference field="3" count="1" selected="0">
            <x v="3"/>
          </reference>
        </references>
      </pivotArea>
    </chartFormat>
    <chartFormat chart="0" format="46" series="1">
      <pivotArea type="data" outline="0" fieldPosition="0">
        <references count="3">
          <reference field="4294967294" count="1" selected="0">
            <x v="0"/>
          </reference>
          <reference field="2" count="1" selected="0">
            <x v="8"/>
          </reference>
          <reference field="3" count="1" selected="0">
            <x v="3"/>
          </reference>
        </references>
      </pivotArea>
    </chartFormat>
    <chartFormat chart="0" format="47" series="1">
      <pivotArea type="data" outline="0" fieldPosition="0">
        <references count="3">
          <reference field="4294967294" count="1" selected="0">
            <x v="0"/>
          </reference>
          <reference field="2" count="1" selected="0">
            <x v="9"/>
          </reference>
          <reference field="3" count="1" selected="0">
            <x v="3"/>
          </reference>
        </references>
      </pivotArea>
    </chartFormat>
    <chartFormat chart="0" format="48" series="1">
      <pivotArea type="data" outline="0" fieldPosition="0">
        <references count="3">
          <reference field="4294967294" count="1" selected="0">
            <x v="0"/>
          </reference>
          <reference field="2" count="1" selected="0">
            <x v="10"/>
          </reference>
          <reference field="3" count="1" selected="0">
            <x v="3"/>
          </reference>
        </references>
      </pivotArea>
    </chartFormat>
    <chartFormat chart="0" format="49" series="1">
      <pivotArea type="data" outline="0" fieldPosition="0">
        <references count="3">
          <reference field="4294967294" count="1" selected="0">
            <x v="0"/>
          </reference>
          <reference field="2" count="1" selected="0">
            <x v="11"/>
          </reference>
          <reference field="3" count="1" selected="0">
            <x v="3"/>
          </reference>
        </references>
      </pivotArea>
    </chartFormat>
    <chartFormat chart="0" format="50" series="1">
      <pivotArea type="data" outline="0" fieldPosition="0">
        <references count="3">
          <reference field="4294967294" count="1" selected="0">
            <x v="0"/>
          </reference>
          <reference field="2" count="1" selected="0">
            <x v="12"/>
          </reference>
          <reference field="3" count="1" selected="0">
            <x v="3"/>
          </reference>
        </references>
      </pivotArea>
    </chartFormat>
    <chartFormat chart="0" format="51" series="1">
      <pivotArea type="data" outline="0" fieldPosition="0">
        <references count="3">
          <reference field="4294967294" count="1" selected="0">
            <x v="0"/>
          </reference>
          <reference field="2" count="1" selected="0">
            <x v="13"/>
          </reference>
          <reference field="3" count="1" selected="0">
            <x v="3"/>
          </reference>
        </references>
      </pivotArea>
    </chartFormat>
    <chartFormat chart="0" format="52" series="1">
      <pivotArea type="data" outline="0" fieldPosition="0">
        <references count="3">
          <reference field="4294967294" count="1" selected="0">
            <x v="0"/>
          </reference>
          <reference field="2" count="1" selected="0">
            <x v="14"/>
          </reference>
          <reference field="3" count="1" selected="0">
            <x v="3"/>
          </reference>
        </references>
      </pivotArea>
    </chartFormat>
    <chartFormat chart="0" format="53" series="1">
      <pivotArea type="data" outline="0" fieldPosition="0">
        <references count="3">
          <reference field="4294967294" count="1" selected="0">
            <x v="0"/>
          </reference>
          <reference field="2" count="1" selected="0">
            <x v="15"/>
          </reference>
          <reference field="3" count="1" selected="0">
            <x v="3"/>
          </reference>
        </references>
      </pivotArea>
    </chartFormat>
    <chartFormat chart="0" format="54" series="1">
      <pivotArea type="data" outline="0" fieldPosition="0">
        <references count="3">
          <reference field="4294967294" count="1" selected="0">
            <x v="0"/>
          </reference>
          <reference field="2" count="1" selected="0">
            <x v="16"/>
          </reference>
          <reference field="3" count="1" selected="0">
            <x v="3"/>
          </reference>
        </references>
      </pivotArea>
    </chartFormat>
    <chartFormat chart="0" format="55" series="1">
      <pivotArea type="data" outline="0" fieldPosition="0">
        <references count="3">
          <reference field="4294967294" count="1" selected="0">
            <x v="0"/>
          </reference>
          <reference field="2" count="1" selected="0">
            <x v="17"/>
          </reference>
          <reference field="3" count="1" selected="0">
            <x v="3"/>
          </reference>
        </references>
      </pivotArea>
    </chartFormat>
    <chartFormat chart="0" format="56" series="1">
      <pivotArea type="data" outline="0" fieldPosition="0">
        <references count="3">
          <reference field="4294967294" count="1" selected="0">
            <x v="0"/>
          </reference>
          <reference field="2" count="1" selected="0">
            <x v="4"/>
          </reference>
          <reference field="3" count="1" selected="0">
            <x v="4"/>
          </reference>
        </references>
      </pivotArea>
    </chartFormat>
    <chartFormat chart="0" format="57" series="1">
      <pivotArea type="data" outline="0" fieldPosition="0">
        <references count="3">
          <reference field="4294967294" count="1" selected="0">
            <x v="0"/>
          </reference>
          <reference field="2" count="1" selected="0">
            <x v="5"/>
          </reference>
          <reference field="3" count="1" selected="0">
            <x v="4"/>
          </reference>
        </references>
      </pivotArea>
    </chartFormat>
    <chartFormat chart="0" format="58" series="1">
      <pivotArea type="data" outline="0" fieldPosition="0">
        <references count="3">
          <reference field="4294967294" count="1" selected="0">
            <x v="0"/>
          </reference>
          <reference field="2" count="1" selected="0">
            <x v="6"/>
          </reference>
          <reference field="3" count="1" selected="0">
            <x v="4"/>
          </reference>
        </references>
      </pivotArea>
    </chartFormat>
    <chartFormat chart="0" format="59" series="1">
      <pivotArea type="data" outline="0" fieldPosition="0">
        <references count="3">
          <reference field="4294967294" count="1" selected="0">
            <x v="0"/>
          </reference>
          <reference field="2" count="1" selected="0">
            <x v="7"/>
          </reference>
          <reference field="3" count="1" selected="0">
            <x v="4"/>
          </reference>
        </references>
      </pivotArea>
    </chartFormat>
    <chartFormat chart="0" format="60" series="1">
      <pivotArea type="data" outline="0" fieldPosition="0">
        <references count="3">
          <reference field="4294967294" count="1" selected="0">
            <x v="0"/>
          </reference>
          <reference field="2" count="1" selected="0">
            <x v="8"/>
          </reference>
          <reference field="3" count="1" selected="0">
            <x v="4"/>
          </reference>
        </references>
      </pivotArea>
    </chartFormat>
    <chartFormat chart="0" format="61" series="1">
      <pivotArea type="data" outline="0" fieldPosition="0">
        <references count="3">
          <reference field="4294967294" count="1" selected="0">
            <x v="0"/>
          </reference>
          <reference field="2" count="1" selected="0">
            <x v="9"/>
          </reference>
          <reference field="3" count="1" selected="0">
            <x v="4"/>
          </reference>
        </references>
      </pivotArea>
    </chartFormat>
    <chartFormat chart="0" format="62" series="1">
      <pivotArea type="data" outline="0" fieldPosition="0">
        <references count="3">
          <reference field="4294967294" count="1" selected="0">
            <x v="0"/>
          </reference>
          <reference field="2" count="1" selected="0">
            <x v="10"/>
          </reference>
          <reference field="3" count="1" selected="0">
            <x v="4"/>
          </reference>
        </references>
      </pivotArea>
    </chartFormat>
    <chartFormat chart="0" format="63" series="1">
      <pivotArea type="data" outline="0" fieldPosition="0">
        <references count="3">
          <reference field="4294967294" count="1" selected="0">
            <x v="0"/>
          </reference>
          <reference field="2" count="1" selected="0">
            <x v="11"/>
          </reference>
          <reference field="3" count="1" selected="0">
            <x v="4"/>
          </reference>
        </references>
      </pivotArea>
    </chartFormat>
    <chartFormat chart="0" format="64" series="1">
      <pivotArea type="data" outline="0" fieldPosition="0">
        <references count="3">
          <reference field="4294967294" count="1" selected="0">
            <x v="0"/>
          </reference>
          <reference field="2" count="1" selected="0">
            <x v="12"/>
          </reference>
          <reference field="3" count="1" selected="0">
            <x v="4"/>
          </reference>
        </references>
      </pivotArea>
    </chartFormat>
    <chartFormat chart="0" format="65" series="1">
      <pivotArea type="data" outline="0" fieldPosition="0">
        <references count="3">
          <reference field="4294967294" count="1" selected="0">
            <x v="0"/>
          </reference>
          <reference field="2" count="1" selected="0">
            <x v="13"/>
          </reference>
          <reference field="3" count="1" selected="0">
            <x v="4"/>
          </reference>
        </references>
      </pivotArea>
    </chartFormat>
    <chartFormat chart="0" format="66" series="1">
      <pivotArea type="data" outline="0" fieldPosition="0">
        <references count="3">
          <reference field="4294967294" count="1" selected="0">
            <x v="0"/>
          </reference>
          <reference field="2" count="1" selected="0">
            <x v="14"/>
          </reference>
          <reference field="3" count="1" selected="0">
            <x v="4"/>
          </reference>
        </references>
      </pivotArea>
    </chartFormat>
    <chartFormat chart="0" format="67" series="1">
      <pivotArea type="data" outline="0" fieldPosition="0">
        <references count="3">
          <reference field="4294967294" count="1" selected="0">
            <x v="0"/>
          </reference>
          <reference field="2" count="1" selected="0">
            <x v="15"/>
          </reference>
          <reference field="3" count="1" selected="0">
            <x v="4"/>
          </reference>
        </references>
      </pivotArea>
    </chartFormat>
    <chartFormat chart="0" format="68" series="1">
      <pivotArea type="data" outline="0" fieldPosition="0">
        <references count="3">
          <reference field="4294967294" count="1" selected="0">
            <x v="0"/>
          </reference>
          <reference field="2" count="1" selected="0">
            <x v="16"/>
          </reference>
          <reference field="3" count="1" selected="0">
            <x v="4"/>
          </reference>
        </references>
      </pivotArea>
    </chartFormat>
    <chartFormat chart="0" format="69" series="1">
      <pivotArea type="data" outline="0" fieldPosition="0">
        <references count="3">
          <reference field="4294967294" count="1" selected="0">
            <x v="0"/>
          </reference>
          <reference field="2" count="1" selected="0">
            <x v="17"/>
          </reference>
          <reference field="3" count="1" selected="0">
            <x v="4"/>
          </reference>
        </references>
      </pivotArea>
    </chartFormat>
    <chartFormat chart="0" format="70" series="1">
      <pivotArea type="data" outline="0" fieldPosition="0">
        <references count="3">
          <reference field="4294967294" count="1" selected="0">
            <x v="0"/>
          </reference>
          <reference field="2" count="1" selected="0">
            <x v="4"/>
          </reference>
          <reference field="3" count="1" selected="0">
            <x v="5"/>
          </reference>
        </references>
      </pivotArea>
    </chartFormat>
    <chartFormat chart="0" format="71" series="1">
      <pivotArea type="data" outline="0" fieldPosition="0">
        <references count="3">
          <reference field="4294967294" count="1" selected="0">
            <x v="0"/>
          </reference>
          <reference field="2" count="1" selected="0">
            <x v="5"/>
          </reference>
          <reference field="3" count="1" selected="0">
            <x v="5"/>
          </reference>
        </references>
      </pivotArea>
    </chartFormat>
    <chartFormat chart="0" format="72" series="1">
      <pivotArea type="data" outline="0" fieldPosition="0">
        <references count="3">
          <reference field="4294967294" count="1" selected="0">
            <x v="0"/>
          </reference>
          <reference field="2" count="1" selected="0">
            <x v="6"/>
          </reference>
          <reference field="3" count="1" selected="0">
            <x v="5"/>
          </reference>
        </references>
      </pivotArea>
    </chartFormat>
    <chartFormat chart="0" format="73" series="1">
      <pivotArea type="data" outline="0" fieldPosition="0">
        <references count="3">
          <reference field="4294967294" count="1" selected="0">
            <x v="0"/>
          </reference>
          <reference field="2" count="1" selected="0">
            <x v="7"/>
          </reference>
          <reference field="3" count="1" selected="0">
            <x v="5"/>
          </reference>
        </references>
      </pivotArea>
    </chartFormat>
    <chartFormat chart="0" format="74" series="1">
      <pivotArea type="data" outline="0" fieldPosition="0">
        <references count="3">
          <reference field="4294967294" count="1" selected="0">
            <x v="0"/>
          </reference>
          <reference field="2" count="1" selected="0">
            <x v="8"/>
          </reference>
          <reference field="3" count="1" selected="0">
            <x v="5"/>
          </reference>
        </references>
      </pivotArea>
    </chartFormat>
    <chartFormat chart="0" format="75" series="1">
      <pivotArea type="data" outline="0" fieldPosition="0">
        <references count="3">
          <reference field="4294967294" count="1" selected="0">
            <x v="0"/>
          </reference>
          <reference field="2" count="1" selected="0">
            <x v="9"/>
          </reference>
          <reference field="3" count="1" selected="0">
            <x v="5"/>
          </reference>
        </references>
      </pivotArea>
    </chartFormat>
    <chartFormat chart="0" format="76" series="1">
      <pivotArea type="data" outline="0" fieldPosition="0">
        <references count="3">
          <reference field="4294967294" count="1" selected="0">
            <x v="0"/>
          </reference>
          <reference field="2" count="1" selected="0">
            <x v="10"/>
          </reference>
          <reference field="3" count="1" selected="0">
            <x v="5"/>
          </reference>
        </references>
      </pivotArea>
    </chartFormat>
    <chartFormat chart="0" format="77" series="1">
      <pivotArea type="data" outline="0" fieldPosition="0">
        <references count="3">
          <reference field="4294967294" count="1" selected="0">
            <x v="0"/>
          </reference>
          <reference field="2" count="1" selected="0">
            <x v="11"/>
          </reference>
          <reference field="3" count="1" selected="0">
            <x v="5"/>
          </reference>
        </references>
      </pivotArea>
    </chartFormat>
    <chartFormat chart="0" format="78" series="1">
      <pivotArea type="data" outline="0" fieldPosition="0">
        <references count="3">
          <reference field="4294967294" count="1" selected="0">
            <x v="0"/>
          </reference>
          <reference field="2" count="1" selected="0">
            <x v="12"/>
          </reference>
          <reference field="3" count="1" selected="0">
            <x v="5"/>
          </reference>
        </references>
      </pivotArea>
    </chartFormat>
    <chartFormat chart="0" format="79" series="1">
      <pivotArea type="data" outline="0" fieldPosition="0">
        <references count="3">
          <reference field="4294967294" count="1" selected="0">
            <x v="0"/>
          </reference>
          <reference field="2" count="1" selected="0">
            <x v="13"/>
          </reference>
          <reference field="3" count="1" selected="0">
            <x v="5"/>
          </reference>
        </references>
      </pivotArea>
    </chartFormat>
    <chartFormat chart="0" format="80" series="1">
      <pivotArea type="data" outline="0" fieldPosition="0">
        <references count="3">
          <reference field="4294967294" count="1" selected="0">
            <x v="0"/>
          </reference>
          <reference field="2" count="1" selected="0">
            <x v="14"/>
          </reference>
          <reference field="3" count="1" selected="0">
            <x v="5"/>
          </reference>
        </references>
      </pivotArea>
    </chartFormat>
    <chartFormat chart="0" format="81" series="1">
      <pivotArea type="data" outline="0" fieldPosition="0">
        <references count="3">
          <reference field="4294967294" count="1" selected="0">
            <x v="0"/>
          </reference>
          <reference field="2" count="1" selected="0">
            <x v="15"/>
          </reference>
          <reference field="3" count="1" selected="0">
            <x v="5"/>
          </reference>
        </references>
      </pivotArea>
    </chartFormat>
    <chartFormat chart="0" format="82" series="1">
      <pivotArea type="data" outline="0" fieldPosition="0">
        <references count="3">
          <reference field="4294967294" count="1" selected="0">
            <x v="0"/>
          </reference>
          <reference field="2" count="1" selected="0">
            <x v="16"/>
          </reference>
          <reference field="3" count="1" selected="0">
            <x v="5"/>
          </reference>
        </references>
      </pivotArea>
    </chartFormat>
    <chartFormat chart="0" format="83" series="1">
      <pivotArea type="data" outline="0" fieldPosition="0">
        <references count="3">
          <reference field="4294967294" count="1" selected="0">
            <x v="0"/>
          </reference>
          <reference field="2" count="1" selected="0">
            <x v="17"/>
          </reference>
          <reference field="3" count="1" selected="0">
            <x v="5"/>
          </reference>
        </references>
      </pivotArea>
    </chartFormat>
    <chartFormat chart="0" format="84" series="1">
      <pivotArea type="data" outline="0" fieldPosition="0">
        <references count="3">
          <reference field="4294967294" count="1" selected="0">
            <x v="0"/>
          </reference>
          <reference field="2" count="1" selected="0">
            <x v="4"/>
          </reference>
          <reference field="3" count="1" selected="0">
            <x v="6"/>
          </reference>
        </references>
      </pivotArea>
    </chartFormat>
    <chartFormat chart="0" format="85" series="1">
      <pivotArea type="data" outline="0" fieldPosition="0">
        <references count="3">
          <reference field="4294967294" count="1" selected="0">
            <x v="0"/>
          </reference>
          <reference field="2" count="1" selected="0">
            <x v="5"/>
          </reference>
          <reference field="3" count="1" selected="0">
            <x v="6"/>
          </reference>
        </references>
      </pivotArea>
    </chartFormat>
    <chartFormat chart="0" format="86" series="1">
      <pivotArea type="data" outline="0" fieldPosition="0">
        <references count="3">
          <reference field="4294967294" count="1" selected="0">
            <x v="0"/>
          </reference>
          <reference field="2" count="1" selected="0">
            <x v="6"/>
          </reference>
          <reference field="3" count="1" selected="0">
            <x v="6"/>
          </reference>
        </references>
      </pivotArea>
    </chartFormat>
    <chartFormat chart="0" format="87" series="1">
      <pivotArea type="data" outline="0" fieldPosition="0">
        <references count="3">
          <reference field="4294967294" count="1" selected="0">
            <x v="0"/>
          </reference>
          <reference field="2" count="1" selected="0">
            <x v="7"/>
          </reference>
          <reference field="3" count="1" selected="0">
            <x v="6"/>
          </reference>
        </references>
      </pivotArea>
    </chartFormat>
    <chartFormat chart="0" format="88" series="1">
      <pivotArea type="data" outline="0" fieldPosition="0">
        <references count="3">
          <reference field="4294967294" count="1" selected="0">
            <x v="0"/>
          </reference>
          <reference field="2" count="1" selected="0">
            <x v="8"/>
          </reference>
          <reference field="3" count="1" selected="0">
            <x v="6"/>
          </reference>
        </references>
      </pivotArea>
    </chartFormat>
    <chartFormat chart="0" format="89" series="1">
      <pivotArea type="data" outline="0" fieldPosition="0">
        <references count="3">
          <reference field="4294967294" count="1" selected="0">
            <x v="0"/>
          </reference>
          <reference field="2" count="1" selected="0">
            <x v="9"/>
          </reference>
          <reference field="3" count="1" selected="0">
            <x v="6"/>
          </reference>
        </references>
      </pivotArea>
    </chartFormat>
    <chartFormat chart="0" format="90" series="1">
      <pivotArea type="data" outline="0" fieldPosition="0">
        <references count="3">
          <reference field="4294967294" count="1" selected="0">
            <x v="0"/>
          </reference>
          <reference field="2" count="1" selected="0">
            <x v="10"/>
          </reference>
          <reference field="3" count="1" selected="0">
            <x v="6"/>
          </reference>
        </references>
      </pivotArea>
    </chartFormat>
    <chartFormat chart="0" format="91" series="1">
      <pivotArea type="data" outline="0" fieldPosition="0">
        <references count="3">
          <reference field="4294967294" count="1" selected="0">
            <x v="0"/>
          </reference>
          <reference field="2" count="1" selected="0">
            <x v="11"/>
          </reference>
          <reference field="3" count="1" selected="0">
            <x v="6"/>
          </reference>
        </references>
      </pivotArea>
    </chartFormat>
    <chartFormat chart="0" format="92" series="1">
      <pivotArea type="data" outline="0" fieldPosition="0">
        <references count="3">
          <reference field="4294967294" count="1" selected="0">
            <x v="0"/>
          </reference>
          <reference field="2" count="1" selected="0">
            <x v="12"/>
          </reference>
          <reference field="3" count="1" selected="0">
            <x v="6"/>
          </reference>
        </references>
      </pivotArea>
    </chartFormat>
    <chartFormat chart="0" format="93" series="1">
      <pivotArea type="data" outline="0" fieldPosition="0">
        <references count="3">
          <reference field="4294967294" count="1" selected="0">
            <x v="0"/>
          </reference>
          <reference field="2" count="1" selected="0">
            <x v="13"/>
          </reference>
          <reference field="3" count="1" selected="0">
            <x v="6"/>
          </reference>
        </references>
      </pivotArea>
    </chartFormat>
    <chartFormat chart="0" format="94" series="1">
      <pivotArea type="data" outline="0" fieldPosition="0">
        <references count="3">
          <reference field="4294967294" count="1" selected="0">
            <x v="0"/>
          </reference>
          <reference field="2" count="1" selected="0">
            <x v="14"/>
          </reference>
          <reference field="3" count="1" selected="0">
            <x v="6"/>
          </reference>
        </references>
      </pivotArea>
    </chartFormat>
    <chartFormat chart="0" format="95" series="1">
      <pivotArea type="data" outline="0" fieldPosition="0">
        <references count="3">
          <reference field="4294967294" count="1" selected="0">
            <x v="0"/>
          </reference>
          <reference field="2" count="1" selected="0">
            <x v="15"/>
          </reference>
          <reference field="3" count="1" selected="0">
            <x v="6"/>
          </reference>
        </references>
      </pivotArea>
    </chartFormat>
    <chartFormat chart="0" format="96" series="1">
      <pivotArea type="data" outline="0" fieldPosition="0">
        <references count="3">
          <reference field="4294967294" count="1" selected="0">
            <x v="0"/>
          </reference>
          <reference field="2" count="1" selected="0">
            <x v="16"/>
          </reference>
          <reference field="3" count="1" selected="0">
            <x v="6"/>
          </reference>
        </references>
      </pivotArea>
    </chartFormat>
    <chartFormat chart="0" format="97" series="1">
      <pivotArea type="data" outline="0" fieldPosition="0">
        <references count="3">
          <reference field="4294967294" count="1" selected="0">
            <x v="0"/>
          </reference>
          <reference field="2" count="1" selected="0">
            <x v="17"/>
          </reference>
          <reference field="3" count="1" selected="0">
            <x v="6"/>
          </reference>
        </references>
      </pivotArea>
    </chartFormat>
    <chartFormat chart="0" format="98" series="1">
      <pivotArea type="data" outline="0" fieldPosition="0">
        <references count="3">
          <reference field="4294967294" count="1" selected="0">
            <x v="0"/>
          </reference>
          <reference field="2" count="1" selected="0">
            <x v="4"/>
          </reference>
          <reference field="3" count="1" selected="0">
            <x v="7"/>
          </reference>
        </references>
      </pivotArea>
    </chartFormat>
    <chartFormat chart="0" format="99" series="1">
      <pivotArea type="data" outline="0" fieldPosition="0">
        <references count="3">
          <reference field="4294967294" count="1" selected="0">
            <x v="0"/>
          </reference>
          <reference field="2" count="1" selected="0">
            <x v="5"/>
          </reference>
          <reference field="3" count="1" selected="0">
            <x v="7"/>
          </reference>
        </references>
      </pivotArea>
    </chartFormat>
    <chartFormat chart="0" format="100" series="1">
      <pivotArea type="data" outline="0" fieldPosition="0">
        <references count="3">
          <reference field="4294967294" count="1" selected="0">
            <x v="0"/>
          </reference>
          <reference field="2" count="1" selected="0">
            <x v="6"/>
          </reference>
          <reference field="3" count="1" selected="0">
            <x v="7"/>
          </reference>
        </references>
      </pivotArea>
    </chartFormat>
    <chartFormat chart="0" format="101" series="1">
      <pivotArea type="data" outline="0" fieldPosition="0">
        <references count="3">
          <reference field="4294967294" count="1" selected="0">
            <x v="0"/>
          </reference>
          <reference field="2" count="1" selected="0">
            <x v="7"/>
          </reference>
          <reference field="3" count="1" selected="0">
            <x v="7"/>
          </reference>
        </references>
      </pivotArea>
    </chartFormat>
    <chartFormat chart="0" format="102" series="1">
      <pivotArea type="data" outline="0" fieldPosition="0">
        <references count="3">
          <reference field="4294967294" count="1" selected="0">
            <x v="0"/>
          </reference>
          <reference field="2" count="1" selected="0">
            <x v="8"/>
          </reference>
          <reference field="3" count="1" selected="0">
            <x v="7"/>
          </reference>
        </references>
      </pivotArea>
    </chartFormat>
    <chartFormat chart="0" format="103" series="1">
      <pivotArea type="data" outline="0" fieldPosition="0">
        <references count="3">
          <reference field="4294967294" count="1" selected="0">
            <x v="0"/>
          </reference>
          <reference field="2" count="1" selected="0">
            <x v="9"/>
          </reference>
          <reference field="3" count="1" selected="0">
            <x v="7"/>
          </reference>
        </references>
      </pivotArea>
    </chartFormat>
    <chartFormat chart="0" format="104" series="1">
      <pivotArea type="data" outline="0" fieldPosition="0">
        <references count="3">
          <reference field="4294967294" count="1" selected="0">
            <x v="0"/>
          </reference>
          <reference field="2" count="1" selected="0">
            <x v="10"/>
          </reference>
          <reference field="3" count="1" selected="0">
            <x v="7"/>
          </reference>
        </references>
      </pivotArea>
    </chartFormat>
    <chartFormat chart="0" format="105" series="1">
      <pivotArea type="data" outline="0" fieldPosition="0">
        <references count="3">
          <reference field="4294967294" count="1" selected="0">
            <x v="0"/>
          </reference>
          <reference field="2" count="1" selected="0">
            <x v="11"/>
          </reference>
          <reference field="3" count="1" selected="0">
            <x v="7"/>
          </reference>
        </references>
      </pivotArea>
    </chartFormat>
    <chartFormat chart="0" format="106" series="1">
      <pivotArea type="data" outline="0" fieldPosition="0">
        <references count="3">
          <reference field="4294967294" count="1" selected="0">
            <x v="0"/>
          </reference>
          <reference field="2" count="1" selected="0">
            <x v="12"/>
          </reference>
          <reference field="3" count="1" selected="0">
            <x v="7"/>
          </reference>
        </references>
      </pivotArea>
    </chartFormat>
    <chartFormat chart="0" format="107" series="1">
      <pivotArea type="data" outline="0" fieldPosition="0">
        <references count="3">
          <reference field="4294967294" count="1" selected="0">
            <x v="0"/>
          </reference>
          <reference field="2" count="1" selected="0">
            <x v="13"/>
          </reference>
          <reference field="3" count="1" selected="0">
            <x v="7"/>
          </reference>
        </references>
      </pivotArea>
    </chartFormat>
    <chartFormat chart="0" format="108" series="1">
      <pivotArea type="data" outline="0" fieldPosition="0">
        <references count="3">
          <reference field="4294967294" count="1" selected="0">
            <x v="0"/>
          </reference>
          <reference field="2" count="1" selected="0">
            <x v="14"/>
          </reference>
          <reference field="3" count="1" selected="0">
            <x v="7"/>
          </reference>
        </references>
      </pivotArea>
    </chartFormat>
    <chartFormat chart="0" format="109" series="1">
      <pivotArea type="data" outline="0" fieldPosition="0">
        <references count="3">
          <reference field="4294967294" count="1" selected="0">
            <x v="0"/>
          </reference>
          <reference field="2" count="1" selected="0">
            <x v="15"/>
          </reference>
          <reference field="3" count="1" selected="0">
            <x v="7"/>
          </reference>
        </references>
      </pivotArea>
    </chartFormat>
    <chartFormat chart="0" format="110" series="1">
      <pivotArea type="data" outline="0" fieldPosition="0">
        <references count="3">
          <reference field="4294967294" count="1" selected="0">
            <x v="0"/>
          </reference>
          <reference field="2" count="1" selected="0">
            <x v="16"/>
          </reference>
          <reference field="3" count="1" selected="0">
            <x v="7"/>
          </reference>
        </references>
      </pivotArea>
    </chartFormat>
    <chartFormat chart="0" format="111" series="1">
      <pivotArea type="data" outline="0" fieldPosition="0">
        <references count="3">
          <reference field="4294967294" count="1" selected="0">
            <x v="0"/>
          </reference>
          <reference field="2" count="1" selected="0">
            <x v="17"/>
          </reference>
          <reference field="3" count="1" selected="0">
            <x v="7"/>
          </reference>
        </references>
      </pivotArea>
    </chartFormat>
    <chartFormat chart="0" format="112" series="1">
      <pivotArea type="data" outline="0" fieldPosition="0">
        <references count="3">
          <reference field="4294967294" count="1" selected="0">
            <x v="0"/>
          </reference>
          <reference field="2" count="1" selected="0">
            <x v="4"/>
          </reference>
          <reference field="3" count="1" selected="0">
            <x v="8"/>
          </reference>
        </references>
      </pivotArea>
    </chartFormat>
    <chartFormat chart="0" format="113" series="1">
      <pivotArea type="data" outline="0" fieldPosition="0">
        <references count="3">
          <reference field="4294967294" count="1" selected="0">
            <x v="0"/>
          </reference>
          <reference field="2" count="1" selected="0">
            <x v="5"/>
          </reference>
          <reference field="3" count="1" selected="0">
            <x v="8"/>
          </reference>
        </references>
      </pivotArea>
    </chartFormat>
    <chartFormat chart="0" format="114" series="1">
      <pivotArea type="data" outline="0" fieldPosition="0">
        <references count="3">
          <reference field="4294967294" count="1" selected="0">
            <x v="0"/>
          </reference>
          <reference field="2" count="1" selected="0">
            <x v="6"/>
          </reference>
          <reference field="3" count="1" selected="0">
            <x v="8"/>
          </reference>
        </references>
      </pivotArea>
    </chartFormat>
    <chartFormat chart="0" format="115" series="1">
      <pivotArea type="data" outline="0" fieldPosition="0">
        <references count="3">
          <reference field="4294967294" count="1" selected="0">
            <x v="0"/>
          </reference>
          <reference field="2" count="1" selected="0">
            <x v="7"/>
          </reference>
          <reference field="3" count="1" selected="0">
            <x v="8"/>
          </reference>
        </references>
      </pivotArea>
    </chartFormat>
    <chartFormat chart="0" format="116" series="1">
      <pivotArea type="data" outline="0" fieldPosition="0">
        <references count="3">
          <reference field="4294967294" count="1" selected="0">
            <x v="0"/>
          </reference>
          <reference field="2" count="1" selected="0">
            <x v="8"/>
          </reference>
          <reference field="3" count="1" selected="0">
            <x v="8"/>
          </reference>
        </references>
      </pivotArea>
    </chartFormat>
    <chartFormat chart="0" format="117" series="1">
      <pivotArea type="data" outline="0" fieldPosition="0">
        <references count="3">
          <reference field="4294967294" count="1" selected="0">
            <x v="0"/>
          </reference>
          <reference field="2" count="1" selected="0">
            <x v="9"/>
          </reference>
          <reference field="3" count="1" selected="0">
            <x v="8"/>
          </reference>
        </references>
      </pivotArea>
    </chartFormat>
    <chartFormat chart="0" format="118" series="1">
      <pivotArea type="data" outline="0" fieldPosition="0">
        <references count="3">
          <reference field="4294967294" count="1" selected="0">
            <x v="0"/>
          </reference>
          <reference field="2" count="1" selected="0">
            <x v="10"/>
          </reference>
          <reference field="3" count="1" selected="0">
            <x v="8"/>
          </reference>
        </references>
      </pivotArea>
    </chartFormat>
    <chartFormat chart="0" format="119" series="1">
      <pivotArea type="data" outline="0" fieldPosition="0">
        <references count="3">
          <reference field="4294967294" count="1" selected="0">
            <x v="0"/>
          </reference>
          <reference field="2" count="1" selected="0">
            <x v="11"/>
          </reference>
          <reference field="3" count="1" selected="0">
            <x v="8"/>
          </reference>
        </references>
      </pivotArea>
    </chartFormat>
    <chartFormat chart="0" format="120" series="1">
      <pivotArea type="data" outline="0" fieldPosition="0">
        <references count="3">
          <reference field="4294967294" count="1" selected="0">
            <x v="0"/>
          </reference>
          <reference field="2" count="1" selected="0">
            <x v="12"/>
          </reference>
          <reference field="3" count="1" selected="0">
            <x v="8"/>
          </reference>
        </references>
      </pivotArea>
    </chartFormat>
    <chartFormat chart="0" format="121" series="1">
      <pivotArea type="data" outline="0" fieldPosition="0">
        <references count="3">
          <reference field="4294967294" count="1" selected="0">
            <x v="0"/>
          </reference>
          <reference field="2" count="1" selected="0">
            <x v="13"/>
          </reference>
          <reference field="3" count="1" selected="0">
            <x v="8"/>
          </reference>
        </references>
      </pivotArea>
    </chartFormat>
    <chartFormat chart="0" format="122" series="1">
      <pivotArea type="data" outline="0" fieldPosition="0">
        <references count="3">
          <reference field="4294967294" count="1" selected="0">
            <x v="0"/>
          </reference>
          <reference field="2" count="1" selected="0">
            <x v="14"/>
          </reference>
          <reference field="3" count="1" selected="0">
            <x v="8"/>
          </reference>
        </references>
      </pivotArea>
    </chartFormat>
    <chartFormat chart="0" format="123" series="1">
      <pivotArea type="data" outline="0" fieldPosition="0">
        <references count="3">
          <reference field="4294967294" count="1" selected="0">
            <x v="0"/>
          </reference>
          <reference field="2" count="1" selected="0">
            <x v="15"/>
          </reference>
          <reference field="3" count="1" selected="0">
            <x v="8"/>
          </reference>
        </references>
      </pivotArea>
    </chartFormat>
    <chartFormat chart="0" format="124" series="1">
      <pivotArea type="data" outline="0" fieldPosition="0">
        <references count="3">
          <reference field="4294967294" count="1" selected="0">
            <x v="0"/>
          </reference>
          <reference field="2" count="1" selected="0">
            <x v="16"/>
          </reference>
          <reference field="3" count="1" selected="0">
            <x v="8"/>
          </reference>
        </references>
      </pivotArea>
    </chartFormat>
    <chartFormat chart="0" format="125" series="1">
      <pivotArea type="data" outline="0" fieldPosition="0">
        <references count="3">
          <reference field="4294967294" count="1" selected="0">
            <x v="0"/>
          </reference>
          <reference field="2" count="1" selected="0">
            <x v="17"/>
          </reference>
          <reference field="3" count="1" selected="0">
            <x v="8"/>
          </reference>
        </references>
      </pivotArea>
    </chartFormat>
    <chartFormat chart="0" format="126" series="1">
      <pivotArea type="data" outline="0" fieldPosition="0">
        <references count="3">
          <reference field="4294967294" count="1" selected="0">
            <x v="0"/>
          </reference>
          <reference field="2" count="1" selected="0">
            <x v="4"/>
          </reference>
          <reference field="3" count="1" selected="0">
            <x v="9"/>
          </reference>
        </references>
      </pivotArea>
    </chartFormat>
    <chartFormat chart="0" format="127" series="1">
      <pivotArea type="data" outline="0" fieldPosition="0">
        <references count="3">
          <reference field="4294967294" count="1" selected="0">
            <x v="0"/>
          </reference>
          <reference field="2" count="1" selected="0">
            <x v="5"/>
          </reference>
          <reference field="3" count="1" selected="0">
            <x v="9"/>
          </reference>
        </references>
      </pivotArea>
    </chartFormat>
    <chartFormat chart="0" format="128" series="1">
      <pivotArea type="data" outline="0" fieldPosition="0">
        <references count="3">
          <reference field="4294967294" count="1" selected="0">
            <x v="0"/>
          </reference>
          <reference field="2" count="1" selected="0">
            <x v="6"/>
          </reference>
          <reference field="3" count="1" selected="0">
            <x v="9"/>
          </reference>
        </references>
      </pivotArea>
    </chartFormat>
    <chartFormat chart="0" format="129" series="1">
      <pivotArea type="data" outline="0" fieldPosition="0">
        <references count="3">
          <reference field="4294967294" count="1" selected="0">
            <x v="0"/>
          </reference>
          <reference field="2" count="1" selected="0">
            <x v="7"/>
          </reference>
          <reference field="3" count="1" selected="0">
            <x v="9"/>
          </reference>
        </references>
      </pivotArea>
    </chartFormat>
    <chartFormat chart="0" format="130" series="1">
      <pivotArea type="data" outline="0" fieldPosition="0">
        <references count="3">
          <reference field="4294967294" count="1" selected="0">
            <x v="0"/>
          </reference>
          <reference field="2" count="1" selected="0">
            <x v="8"/>
          </reference>
          <reference field="3" count="1" selected="0">
            <x v="9"/>
          </reference>
        </references>
      </pivotArea>
    </chartFormat>
    <chartFormat chart="0" format="131" series="1">
      <pivotArea type="data" outline="0" fieldPosition="0">
        <references count="3">
          <reference field="4294967294" count="1" selected="0">
            <x v="0"/>
          </reference>
          <reference field="2" count="1" selected="0">
            <x v="9"/>
          </reference>
          <reference field="3" count="1" selected="0">
            <x v="9"/>
          </reference>
        </references>
      </pivotArea>
    </chartFormat>
    <chartFormat chart="0" format="132" series="1">
      <pivotArea type="data" outline="0" fieldPosition="0">
        <references count="3">
          <reference field="4294967294" count="1" selected="0">
            <x v="0"/>
          </reference>
          <reference field="2" count="1" selected="0">
            <x v="10"/>
          </reference>
          <reference field="3" count="1" selected="0">
            <x v="9"/>
          </reference>
        </references>
      </pivotArea>
    </chartFormat>
    <chartFormat chart="0" format="133" series="1">
      <pivotArea type="data" outline="0" fieldPosition="0">
        <references count="3">
          <reference field="4294967294" count="1" selected="0">
            <x v="0"/>
          </reference>
          <reference field="2" count="1" selected="0">
            <x v="11"/>
          </reference>
          <reference field="3" count="1" selected="0">
            <x v="9"/>
          </reference>
        </references>
      </pivotArea>
    </chartFormat>
    <chartFormat chart="0" format="134" series="1">
      <pivotArea type="data" outline="0" fieldPosition="0">
        <references count="3">
          <reference field="4294967294" count="1" selected="0">
            <x v="0"/>
          </reference>
          <reference field="2" count="1" selected="0">
            <x v="12"/>
          </reference>
          <reference field="3" count="1" selected="0">
            <x v="9"/>
          </reference>
        </references>
      </pivotArea>
    </chartFormat>
    <chartFormat chart="0" format="135" series="1">
      <pivotArea type="data" outline="0" fieldPosition="0">
        <references count="3">
          <reference field="4294967294" count="1" selected="0">
            <x v="0"/>
          </reference>
          <reference field="2" count="1" selected="0">
            <x v="13"/>
          </reference>
          <reference field="3" count="1" selected="0">
            <x v="9"/>
          </reference>
        </references>
      </pivotArea>
    </chartFormat>
    <chartFormat chart="0" format="136" series="1">
      <pivotArea type="data" outline="0" fieldPosition="0">
        <references count="3">
          <reference field="4294967294" count="1" selected="0">
            <x v="0"/>
          </reference>
          <reference field="2" count="1" selected="0">
            <x v="14"/>
          </reference>
          <reference field="3" count="1" selected="0">
            <x v="9"/>
          </reference>
        </references>
      </pivotArea>
    </chartFormat>
    <chartFormat chart="0" format="137" series="1">
      <pivotArea type="data" outline="0" fieldPosition="0">
        <references count="3">
          <reference field="4294967294" count="1" selected="0">
            <x v="0"/>
          </reference>
          <reference field="2" count="1" selected="0">
            <x v="15"/>
          </reference>
          <reference field="3" count="1" selected="0">
            <x v="9"/>
          </reference>
        </references>
      </pivotArea>
    </chartFormat>
    <chartFormat chart="0" format="138" series="1">
      <pivotArea type="data" outline="0" fieldPosition="0">
        <references count="3">
          <reference field="4294967294" count="1" selected="0">
            <x v="0"/>
          </reference>
          <reference field="2" count="1" selected="0">
            <x v="16"/>
          </reference>
          <reference field="3" count="1" selected="0">
            <x v="9"/>
          </reference>
        </references>
      </pivotArea>
    </chartFormat>
    <chartFormat chart="0" format="139" series="1">
      <pivotArea type="data" outline="0" fieldPosition="0">
        <references count="3">
          <reference field="4294967294" count="1" selected="0">
            <x v="0"/>
          </reference>
          <reference field="2" count="1" selected="0">
            <x v="17"/>
          </reference>
          <reference field="3" count="1" selected="0">
            <x v="9"/>
          </reference>
        </references>
      </pivotArea>
    </chartFormat>
    <chartFormat chart="0" format="140" series="1">
      <pivotArea type="data" outline="0" fieldPosition="0">
        <references count="3">
          <reference field="4294967294" count="1" selected="0">
            <x v="0"/>
          </reference>
          <reference field="2" count="1" selected="0">
            <x v="4"/>
          </reference>
          <reference field="3" count="1" selected="0">
            <x v="10"/>
          </reference>
        </references>
      </pivotArea>
    </chartFormat>
    <chartFormat chart="0" format="141" series="1">
      <pivotArea type="data" outline="0" fieldPosition="0">
        <references count="3">
          <reference field="4294967294" count="1" selected="0">
            <x v="0"/>
          </reference>
          <reference field="2" count="1" selected="0">
            <x v="5"/>
          </reference>
          <reference field="3" count="1" selected="0">
            <x v="10"/>
          </reference>
        </references>
      </pivotArea>
    </chartFormat>
    <chartFormat chart="0" format="142" series="1">
      <pivotArea type="data" outline="0" fieldPosition="0">
        <references count="3">
          <reference field="4294967294" count="1" selected="0">
            <x v="0"/>
          </reference>
          <reference field="2" count="1" selected="0">
            <x v="6"/>
          </reference>
          <reference field="3" count="1" selected="0">
            <x v="10"/>
          </reference>
        </references>
      </pivotArea>
    </chartFormat>
    <chartFormat chart="0" format="143" series="1">
      <pivotArea type="data" outline="0" fieldPosition="0">
        <references count="3">
          <reference field="4294967294" count="1" selected="0">
            <x v="0"/>
          </reference>
          <reference field="2" count="1" selected="0">
            <x v="7"/>
          </reference>
          <reference field="3" count="1" selected="0">
            <x v="10"/>
          </reference>
        </references>
      </pivotArea>
    </chartFormat>
    <chartFormat chart="0" format="144" series="1">
      <pivotArea type="data" outline="0" fieldPosition="0">
        <references count="3">
          <reference field="4294967294" count="1" selected="0">
            <x v="0"/>
          </reference>
          <reference field="2" count="1" selected="0">
            <x v="8"/>
          </reference>
          <reference field="3" count="1" selected="0">
            <x v="10"/>
          </reference>
        </references>
      </pivotArea>
    </chartFormat>
    <chartFormat chart="0" format="145" series="1">
      <pivotArea type="data" outline="0" fieldPosition="0">
        <references count="3">
          <reference field="4294967294" count="1" selected="0">
            <x v="0"/>
          </reference>
          <reference field="2" count="1" selected="0">
            <x v="9"/>
          </reference>
          <reference field="3" count="1" selected="0">
            <x v="10"/>
          </reference>
        </references>
      </pivotArea>
    </chartFormat>
    <chartFormat chart="0" format="146" series="1">
      <pivotArea type="data" outline="0" fieldPosition="0">
        <references count="3">
          <reference field="4294967294" count="1" selected="0">
            <x v="0"/>
          </reference>
          <reference field="2" count="1" selected="0">
            <x v="10"/>
          </reference>
          <reference field="3" count="1" selected="0">
            <x v="10"/>
          </reference>
        </references>
      </pivotArea>
    </chartFormat>
    <chartFormat chart="0" format="147" series="1">
      <pivotArea type="data" outline="0" fieldPosition="0">
        <references count="3">
          <reference field="4294967294" count="1" selected="0">
            <x v="0"/>
          </reference>
          <reference field="2" count="1" selected="0">
            <x v="11"/>
          </reference>
          <reference field="3" count="1" selected="0">
            <x v="10"/>
          </reference>
        </references>
      </pivotArea>
    </chartFormat>
    <chartFormat chart="0" format="148" series="1">
      <pivotArea type="data" outline="0" fieldPosition="0">
        <references count="3">
          <reference field="4294967294" count="1" selected="0">
            <x v="0"/>
          </reference>
          <reference field="2" count="1" selected="0">
            <x v="12"/>
          </reference>
          <reference field="3" count="1" selected="0">
            <x v="10"/>
          </reference>
        </references>
      </pivotArea>
    </chartFormat>
    <chartFormat chart="0" format="149" series="1">
      <pivotArea type="data" outline="0" fieldPosition="0">
        <references count="3">
          <reference field="4294967294" count="1" selected="0">
            <x v="0"/>
          </reference>
          <reference field="2" count="1" selected="0">
            <x v="13"/>
          </reference>
          <reference field="3" count="1" selected="0">
            <x v="10"/>
          </reference>
        </references>
      </pivotArea>
    </chartFormat>
    <chartFormat chart="0" format="150" series="1">
      <pivotArea type="data" outline="0" fieldPosition="0">
        <references count="3">
          <reference field="4294967294" count="1" selected="0">
            <x v="0"/>
          </reference>
          <reference field="2" count="1" selected="0">
            <x v="14"/>
          </reference>
          <reference field="3" count="1" selected="0">
            <x v="10"/>
          </reference>
        </references>
      </pivotArea>
    </chartFormat>
    <chartFormat chart="0" format="151" series="1">
      <pivotArea type="data" outline="0" fieldPosition="0">
        <references count="3">
          <reference field="4294967294" count="1" selected="0">
            <x v="0"/>
          </reference>
          <reference field="2" count="1" selected="0">
            <x v="15"/>
          </reference>
          <reference field="3" count="1" selected="0">
            <x v="10"/>
          </reference>
        </references>
      </pivotArea>
    </chartFormat>
    <chartFormat chart="0" format="152" series="1">
      <pivotArea type="data" outline="0" fieldPosition="0">
        <references count="3">
          <reference field="4294967294" count="1" selected="0">
            <x v="0"/>
          </reference>
          <reference field="2" count="1" selected="0">
            <x v="16"/>
          </reference>
          <reference field="3" count="1" selected="0">
            <x v="10"/>
          </reference>
        </references>
      </pivotArea>
    </chartFormat>
    <chartFormat chart="0" format="153" series="1">
      <pivotArea type="data" outline="0" fieldPosition="0">
        <references count="3">
          <reference field="4294967294" count="1" selected="0">
            <x v="0"/>
          </reference>
          <reference field="2" count="1" selected="0">
            <x v="17"/>
          </reference>
          <reference field="3" count="1" selected="0">
            <x v="1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16"/>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DemoS_012_report">
        <x15:activeTabTopLevelEntity name="[DemoS_012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7847E-BB55-463C-985C-CA95D66A8443}" name="PivotTable1" cacheId="114" applyNumberFormats="0" applyBorderFormats="0" applyFontFormats="0" applyPatternFormats="0" applyAlignmentFormats="0" applyWidthHeightFormats="1" dataCaption="Values" tag="12dfadc0-bdd0-4dd2-af4f-730300d3df83" updatedVersion="8" minRefreshableVersion="3" useAutoFormatting="1" subtotalHiddenItems="1" rowGrandTotals="0" colGrandTotals="0" itemPrintTitles="1" createdVersion="8" indent="0" outline="1" outlineData="1" multipleFieldFilters="0" chartFormat="6">
  <location ref="A5:C79" firstHeaderRow="1" firstDataRow="3" firstDataCol="1" rowPageCount="2" colPageCount="1"/>
  <pivotFields count="7">
    <pivotField dataField="1" subtotalTop="0" showAll="0" defaultSubtotal="0"/>
    <pivotField axis="axisPage" allDrilled="1" subtotalTop="0" showAll="0" dataSourceSort="1" defaultSubtotal="0" defaultAttributeDrillState="1">
      <items count="2">
        <item s="1" x="0"/>
        <item x="1"/>
      </items>
    </pivotField>
    <pivotField axis="axisRow" allDrilled="1" subtotalTop="0" showAll="0" dataSourceSort="1" defaultSubtotal="0" defaultAttributeDrillState="1">
      <items count="11">
        <item x="0"/>
        <item x="1"/>
        <item x="2"/>
        <item x="3"/>
        <item x="4"/>
        <item x="5"/>
        <item x="6"/>
        <item x="7"/>
        <item x="8"/>
        <item x="9"/>
        <item x="10"/>
      </items>
    </pivotField>
    <pivotField axis="axisPage" allDrilled="1" subtotalTop="0" showAll="0" defaultSubtotal="0" defaultAttributeDrillState="1">
      <items count="1">
        <item x="0"/>
      </items>
    </pivotField>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s>
  <rowFields count="2">
    <field x="5"/>
    <field x="2"/>
  </rowFields>
  <rowItems count="72">
    <i>
      <x/>
    </i>
    <i r="1">
      <x/>
    </i>
    <i r="1">
      <x v="1"/>
    </i>
    <i r="1">
      <x v="2"/>
    </i>
    <i r="1">
      <x v="3"/>
    </i>
    <i r="1">
      <x v="4"/>
    </i>
    <i r="1">
      <x v="5"/>
    </i>
    <i r="1">
      <x v="6"/>
    </i>
    <i r="1">
      <x v="7"/>
    </i>
    <i r="1">
      <x v="8"/>
    </i>
    <i r="1">
      <x v="9"/>
    </i>
    <i r="1">
      <x v="10"/>
    </i>
    <i>
      <x v="1"/>
    </i>
    <i r="1">
      <x/>
    </i>
    <i r="1">
      <x v="1"/>
    </i>
    <i r="1">
      <x v="2"/>
    </i>
    <i r="1">
      <x v="3"/>
    </i>
    <i r="1">
      <x v="4"/>
    </i>
    <i r="1">
      <x v="5"/>
    </i>
    <i r="1">
      <x v="6"/>
    </i>
    <i r="1">
      <x v="7"/>
    </i>
    <i r="1">
      <x v="8"/>
    </i>
    <i r="1">
      <x v="9"/>
    </i>
    <i r="1">
      <x v="10"/>
    </i>
    <i>
      <x v="2"/>
    </i>
    <i r="1">
      <x/>
    </i>
    <i r="1">
      <x v="1"/>
    </i>
    <i r="1">
      <x v="2"/>
    </i>
    <i r="1">
      <x v="3"/>
    </i>
    <i r="1">
      <x v="4"/>
    </i>
    <i r="1">
      <x v="5"/>
    </i>
    <i r="1">
      <x v="6"/>
    </i>
    <i r="1">
      <x v="7"/>
    </i>
    <i r="1">
      <x v="8"/>
    </i>
    <i r="1">
      <x v="9"/>
    </i>
    <i r="1">
      <x v="10"/>
    </i>
    <i>
      <x v="3"/>
    </i>
    <i r="1">
      <x/>
    </i>
    <i r="1">
      <x v="1"/>
    </i>
    <i r="1">
      <x v="2"/>
    </i>
    <i r="1">
      <x v="3"/>
    </i>
    <i r="1">
      <x v="4"/>
    </i>
    <i r="1">
      <x v="5"/>
    </i>
    <i r="1">
      <x v="6"/>
    </i>
    <i r="1">
      <x v="7"/>
    </i>
    <i r="1">
      <x v="8"/>
    </i>
    <i r="1">
      <x v="9"/>
    </i>
    <i r="1">
      <x v="10"/>
    </i>
    <i>
      <x v="4"/>
    </i>
    <i r="1">
      <x/>
    </i>
    <i r="1">
      <x v="1"/>
    </i>
    <i r="1">
      <x v="2"/>
    </i>
    <i r="1">
      <x v="3"/>
    </i>
    <i r="1">
      <x v="4"/>
    </i>
    <i r="1">
      <x v="5"/>
    </i>
    <i r="1">
      <x v="6"/>
    </i>
    <i r="1">
      <x v="7"/>
    </i>
    <i r="1">
      <x v="8"/>
    </i>
    <i r="1">
      <x v="9"/>
    </i>
    <i r="1">
      <x v="10"/>
    </i>
    <i>
      <x v="5"/>
    </i>
    <i r="1">
      <x/>
    </i>
    <i r="1">
      <x v="1"/>
    </i>
    <i r="1">
      <x v="2"/>
    </i>
    <i r="1">
      <x v="3"/>
    </i>
    <i r="1">
      <x v="4"/>
    </i>
    <i r="1">
      <x v="5"/>
    </i>
    <i r="1">
      <x v="6"/>
    </i>
    <i r="1">
      <x v="7"/>
    </i>
    <i r="1">
      <x v="8"/>
    </i>
    <i r="1">
      <x v="9"/>
    </i>
    <i r="1">
      <x v="10"/>
    </i>
  </rowItems>
  <colFields count="2">
    <field x="4"/>
    <field x="6"/>
  </colFields>
  <colItems count="2">
    <i>
      <x/>
      <x/>
    </i>
    <i r="1">
      <x v="1"/>
    </i>
  </colItems>
  <pageFields count="2">
    <pageField fld="1" hier="10" name="[DemoS_012_report].[attr].&amp;[fout]" cap="fout"/>
    <pageField fld="3" hier="9" name="[DemoS_012_report].[topic].[All]" cap="All"/>
  </pageFields>
  <dataFields count="1">
    <dataField name="Sum of value" fld="0" baseField="2" baseItem="2" numFmtId="1"/>
  </dataFields>
  <chartFormats count="2">
    <chartFormat chart="0" format="2" series="1">
      <pivotArea type="data" outline="0" fieldPosition="0">
        <references count="1">
          <reference field="4294967294" count="1" selected="0">
            <x v="0"/>
          </reference>
        </references>
      </pivotArea>
    </chartFormat>
    <chartFormat chart="0" format="13" series="1">
      <pivotArea type="data" outline="0" fieldPosition="0">
        <references count="4">
          <reference field="4294967294" count="1" selected="0">
            <x v="0"/>
          </reference>
          <reference field="3" count="1" selected="0">
            <x v="0"/>
          </reference>
          <reference field="4" count="1" selected="0">
            <x v="0"/>
          </reference>
          <reference field="6"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2"/>
    <rowHierarchyUsage hierarchyUsage="16"/>
  </rowHierarchiesUsage>
  <colHierarchiesUsage count="2">
    <colHierarchyUsage hierarchyUsage="18"/>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S_012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F76CBC-D913-4486-AA96-37ADD501FAB2}" name="PivotTable1" cacheId="111" applyNumberFormats="0" applyBorderFormats="0" applyFontFormats="0" applyPatternFormats="0" applyAlignmentFormats="0" applyWidthHeightFormats="1" dataCaption="Values" tag="2e70ad76-10f4-4980-9bf7-f925a4389ff5" updatedVersion="8" minRefreshableVersion="3" useAutoFormatting="1" subtotalHiddenItems="1" rowGrandTotals="0" colGrandTotals="0" itemPrintTitles="1" createdVersion="8" indent="0" outline="1" outlineData="1" multipleFieldFilters="0" chartFormat="1">
  <location ref="B7:F107" firstHeaderRow="1" firstDataRow="3" firstDataCol="1" rowPageCount="4" colPageCount="1"/>
  <pivotFields count="1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13">
        <item x="1"/>
        <item x="4"/>
        <item x="5"/>
        <item x="8"/>
        <item x="9"/>
        <item x="10"/>
        <item x="6"/>
        <item x="3"/>
        <item x="11"/>
        <item x="2"/>
        <item x="0"/>
        <item x="7"/>
        <item x="12"/>
      </items>
    </pivotField>
    <pivotField axis="axisPage" allDrilled="1" subtotalTop="0" showAll="0" dataSourceSort="1" defaultSubtotal="0" defaultAttributeDrillState="1">
      <items count="1">
        <item s="1" x="0"/>
      </items>
    </pivotField>
    <pivotField axis="axisRow" allDrilled="1" subtotalTop="0" showAll="0" defaultSubtotal="0" defaultAttributeDrillState="1">
      <items count="6">
        <item x="0"/>
        <item x="3"/>
        <item x="2"/>
        <item x="4"/>
        <item x="1"/>
        <item x="5"/>
      </items>
    </pivotField>
    <pivotField axis="axisCol" allDrilled="1" subtotalTop="0" showAll="0" defaultSubtotal="0" defaultAttributeDrillState="1">
      <items count="4">
        <item x="0"/>
        <item x="1"/>
        <item x="2"/>
        <item x="3"/>
      </items>
    </pivotField>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1">
        <item x="0"/>
      </items>
    </pivotField>
    <pivotField axis="axisPage"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s>
  <rowFields count="4">
    <field x="7"/>
    <field x="4"/>
    <field x="2"/>
    <field x="10"/>
  </rowFields>
  <rowItems count="98">
    <i>
      <x/>
    </i>
    <i r="1">
      <x/>
    </i>
    <i r="2">
      <x/>
    </i>
    <i r="3">
      <x/>
    </i>
    <i r="3">
      <x v="1"/>
    </i>
    <i r="2">
      <x v="7"/>
    </i>
    <i r="3">
      <x/>
    </i>
    <i r="3">
      <x v="1"/>
    </i>
    <i r="2">
      <x v="9"/>
    </i>
    <i r="3">
      <x/>
    </i>
    <i r="3">
      <x v="1"/>
    </i>
    <i r="2">
      <x v="10"/>
    </i>
    <i r="3">
      <x/>
    </i>
    <i r="3">
      <x v="1"/>
    </i>
    <i r="1">
      <x v="1"/>
    </i>
    <i r="2">
      <x v="4"/>
    </i>
    <i r="3">
      <x/>
    </i>
    <i r="3">
      <x v="1"/>
    </i>
    <i r="2">
      <x v="5"/>
    </i>
    <i r="3">
      <x/>
    </i>
    <i r="3">
      <x v="1"/>
    </i>
    <i r="1">
      <x v="2"/>
    </i>
    <i r="2">
      <x v="4"/>
    </i>
    <i r="3">
      <x/>
    </i>
    <i r="3">
      <x v="1"/>
    </i>
    <i r="1">
      <x v="3"/>
    </i>
    <i r="2">
      <x v="8"/>
    </i>
    <i r="3">
      <x/>
    </i>
    <i r="3">
      <x v="1"/>
    </i>
    <i r="1">
      <x v="4"/>
    </i>
    <i r="2">
      <x v="1"/>
    </i>
    <i r="3">
      <x/>
    </i>
    <i r="3">
      <x v="1"/>
    </i>
    <i r="2">
      <x v="2"/>
    </i>
    <i r="3">
      <x/>
    </i>
    <i r="3">
      <x v="1"/>
    </i>
    <i r="2">
      <x v="3"/>
    </i>
    <i r="3">
      <x/>
    </i>
    <i r="3">
      <x v="1"/>
    </i>
    <i r="2">
      <x v="6"/>
    </i>
    <i r="3">
      <x/>
    </i>
    <i r="3">
      <x v="1"/>
    </i>
    <i r="2">
      <x v="11"/>
    </i>
    <i r="3">
      <x/>
    </i>
    <i r="3">
      <x v="1"/>
    </i>
    <i r="1">
      <x v="5"/>
    </i>
    <i r="2">
      <x v="12"/>
    </i>
    <i r="3">
      <x/>
    </i>
    <i r="3">
      <x v="1"/>
    </i>
    <i>
      <x v="1"/>
    </i>
    <i r="1">
      <x/>
    </i>
    <i r="2">
      <x/>
    </i>
    <i r="3">
      <x/>
    </i>
    <i r="3">
      <x v="1"/>
    </i>
    <i r="2">
      <x v="7"/>
    </i>
    <i r="3">
      <x/>
    </i>
    <i r="3">
      <x v="1"/>
    </i>
    <i r="2">
      <x v="9"/>
    </i>
    <i r="3">
      <x/>
    </i>
    <i r="3">
      <x v="1"/>
    </i>
    <i r="2">
      <x v="10"/>
    </i>
    <i r="3">
      <x/>
    </i>
    <i r="3">
      <x v="1"/>
    </i>
    <i r="1">
      <x v="1"/>
    </i>
    <i r="2">
      <x v="4"/>
    </i>
    <i r="3">
      <x/>
    </i>
    <i r="3">
      <x v="1"/>
    </i>
    <i r="2">
      <x v="5"/>
    </i>
    <i r="3">
      <x/>
    </i>
    <i r="3">
      <x v="1"/>
    </i>
    <i r="1">
      <x v="2"/>
    </i>
    <i r="2">
      <x v="4"/>
    </i>
    <i r="3">
      <x/>
    </i>
    <i r="3">
      <x v="1"/>
    </i>
    <i r="1">
      <x v="3"/>
    </i>
    <i r="2">
      <x v="8"/>
    </i>
    <i r="3">
      <x/>
    </i>
    <i r="3">
      <x v="1"/>
    </i>
    <i r="1">
      <x v="4"/>
    </i>
    <i r="2">
      <x v="1"/>
    </i>
    <i r="3">
      <x/>
    </i>
    <i r="3">
      <x v="1"/>
    </i>
    <i r="2">
      <x v="2"/>
    </i>
    <i r="3">
      <x/>
    </i>
    <i r="3">
      <x v="1"/>
    </i>
    <i r="2">
      <x v="3"/>
    </i>
    <i r="3">
      <x/>
    </i>
    <i r="3">
      <x v="1"/>
    </i>
    <i r="2">
      <x v="6"/>
    </i>
    <i r="3">
      <x/>
    </i>
    <i r="3">
      <x v="1"/>
    </i>
    <i r="2">
      <x v="11"/>
    </i>
    <i r="3">
      <x/>
    </i>
    <i r="3">
      <x v="1"/>
    </i>
    <i r="1">
      <x v="5"/>
    </i>
    <i r="2">
      <x v="12"/>
    </i>
    <i r="3">
      <x/>
    </i>
    <i r="3">
      <x v="1"/>
    </i>
  </rowItems>
  <colFields count="2">
    <field x="5"/>
    <field x="8"/>
  </colFields>
  <colItems count="4">
    <i>
      <x/>
      <x/>
    </i>
    <i>
      <x v="1"/>
      <x/>
    </i>
    <i>
      <x v="2"/>
      <x/>
    </i>
    <i>
      <x v="3"/>
      <x/>
    </i>
  </colItems>
  <pageFields count="4">
    <pageField fld="6" hier="5" name="[DemoS_012_report].[subsector].[All]" cap="All"/>
    <pageField fld="0" hier="4" name="[DemoS_012_report].[sector].&amp;[TR_ELE]" cap="TR_ELE"/>
    <pageField fld="3" hier="16" name="[DemoS_012_report].[year].&amp;[2030]" cap="2030"/>
    <pageField fld="9" hier="14" name="[DemoS_012_report].[regionFrom].[All]" cap="All"/>
  </pageFields>
  <dataFields count="1">
    <dataField name="Sum of value" fld="1" baseField="6" baseItem="1" numFmtId="1"/>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2"/>
    <rowHierarchyUsage hierarchyUsage="9"/>
    <rowHierarchyUsage hierarchyUsage="10"/>
    <rowHierarchyUsage hierarchyUsage="15"/>
  </rowHierarchiesUsage>
  <colHierarchiesUsage count="2">
    <colHierarchyUsage hierarchyUsage="18"/>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S_012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730CE4-F31E-4815-A027-6985B586E00F}" name="PivotTable3" cacheId="108" applyNumberFormats="0" applyBorderFormats="0" applyFontFormats="0" applyPatternFormats="0" applyAlignmentFormats="0" applyWidthHeightFormats="1" dataCaption="Values" tag="8850cba9-2f88-4c18-919a-8aa9eefb7957" updatedVersion="8" minRefreshableVersion="3" useAutoFormatting="1" subtotalHiddenItems="1" rowGrandTotals="0" colGrandTotals="0" itemPrintTitles="1" createdVersion="8" indent="0" outline="1" outlineData="1" multipleFieldFilters="0" chartFormat="4">
  <location ref="B8:K15" firstHeaderRow="1" firstDataRow="4" firstDataCol="1" rowPageCount="4" colPageCount="1"/>
  <pivotFields count="11">
    <pivotField axis="axisRow" allDrilled="1" subtotalTop="0" showAll="0" dataSourceSort="1" defaultSubtotal="0" defaultAttributeDrillState="1">
      <items count="1">
        <item x="0"/>
      </items>
    </pivotField>
    <pivotField dataField="1" subtotalTop="0" showAll="0" defaultSubtotal="0"/>
    <pivotField axis="axisPage" allDrilled="1" subtotalTop="0" showAll="0" defaultSubtotal="0" defaultAttributeDrillState="1">
      <items count="5">
        <item x="2"/>
        <item x="1"/>
        <item x="4"/>
        <item x="3"/>
        <item s="1" x="0"/>
      </items>
    </pivotField>
    <pivotField axis="axisCol" allDrilled="1" subtotalTop="0" showAll="0"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1">
        <item s="1" x="0"/>
      </items>
    </pivotField>
    <pivotField axis="axisCol" allDrilled="1" subtotalTop="0" showAll="0" dataSourceSort="1" defaultSubtotal="0" defaultAttributeDrillState="1">
      <items count="1">
        <item x="0"/>
      </items>
    </pivotField>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1">
        <item x="0"/>
      </items>
    </pivotField>
  </pivotFields>
  <rowFields count="3">
    <field x="4"/>
    <field x="0"/>
    <field x="6"/>
  </rowFields>
  <rowItems count="4">
    <i>
      <x/>
    </i>
    <i r="1">
      <x/>
    </i>
    <i r="2">
      <x/>
    </i>
    <i r="2">
      <x v="1"/>
    </i>
  </rowItems>
  <colFields count="3">
    <field x="3"/>
    <field x="10"/>
    <field x="5"/>
  </colFields>
  <colItems count="9">
    <i>
      <x/>
      <x/>
      <x/>
    </i>
    <i>
      <x v="1"/>
      <x/>
      <x/>
    </i>
    <i>
      <x v="2"/>
      <x/>
      <x/>
    </i>
    <i>
      <x v="3"/>
      <x/>
      <x/>
    </i>
    <i>
      <x v="4"/>
      <x/>
      <x/>
    </i>
    <i>
      <x v="5"/>
      <x/>
      <x/>
    </i>
    <i>
      <x v="6"/>
      <x/>
      <x/>
    </i>
    <i>
      <x v="7"/>
      <x/>
      <x/>
    </i>
    <i>
      <x v="8"/>
      <x/>
      <x/>
    </i>
  </colItems>
  <pageFields count="4">
    <pageField fld="2" hier="10" name="[DemoS_012_report].[attr].&amp;[levc]" cap="levc"/>
    <pageField fld="7" hier="3" name="[DemoS_012_report].[scen].[All]" cap="All"/>
    <pageField fld="8" hier="5" name="[DemoS_012_report].[subsector].[All]" cap="All"/>
    <pageField fld="9" hier="11" name="[DemoS_012_report].[prc].&amp;[ELCTNGAS01]" cap="ELCTNGAS01"/>
  </pageFields>
  <dataFields count="1">
    <dataField name="Sum of value" fld="1" baseField="0" baseItem="0" numFmtId="1"/>
  </dataFields>
  <chartFormats count="4">
    <chartFormat chart="0" format="0" series="1">
      <pivotArea type="data" outline="0" fieldPosition="0">
        <references count="3">
          <reference field="4294967294" count="1" selected="0">
            <x v="0"/>
          </reference>
          <reference field="2" count="1" selected="0">
            <x v="1"/>
          </reference>
          <reference field="3" count="1" selected="0">
            <x v="9"/>
          </reference>
        </references>
      </pivotArea>
    </chartFormat>
    <chartFormat chart="0" format="1" series="1">
      <pivotArea type="data" outline="0" fieldPosition="0">
        <references count="3">
          <reference field="4294967294" count="1" selected="0">
            <x v="0"/>
          </reference>
          <reference field="2" count="1" selected="0">
            <x v="0"/>
          </reference>
          <reference field="3" count="1" selected="0">
            <x v="9"/>
          </reference>
        </references>
      </pivotArea>
    </chartFormat>
    <chartFormat chart="0" format="2" series="1">
      <pivotArea type="data" outline="0" fieldPosition="0">
        <references count="3">
          <reference field="4294967294" count="1" selected="0">
            <x v="0"/>
          </reference>
          <reference field="2" count="1" selected="0">
            <x v="3"/>
          </reference>
          <reference field="3" count="1" selected="0">
            <x v="9"/>
          </reference>
        </references>
      </pivotArea>
    </chartFormat>
    <chartFormat chart="0" format="3" series="1">
      <pivotArea type="data" outline="0" fieldPosition="0">
        <references count="3">
          <reference field="4294967294" count="1" selected="0">
            <x v="0"/>
          </reference>
          <reference field="2" count="1" selected="0">
            <x v="2"/>
          </reference>
          <reference field="3" count="1" selected="0">
            <x v="9"/>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3">
    <rowHierarchyUsage hierarchyUsage="9"/>
    <rowHierarchyUsage hierarchyUsage="4"/>
    <rowHierarchyUsage hierarchyUsage="2"/>
  </rowHierarchiesUsage>
  <colHierarchiesUsage count="3">
    <colHierarchyUsage hierarchyUsage="16"/>
    <colHierarchyUsage hierarchyUsage="19"/>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S_012_report]"/>
        <x15:activeTabTopLevelEntity name="[prc_desc_timesreport]"/>
        <x15:activeTabTopLevelEntity name="[com_desc_timesreport]"/>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3624ED-AE23-42E1-B379-A82F2F9CC93D}" sourceName="[DemoS_012_report].[year]">
  <data>
    <olap pivotCacheId="650941647">
      <levels count="2">
        <level uniqueName="[DemoS_012_report].[year].[(All)]" sourceCaption="(All)" count="0"/>
        <level uniqueName="[DemoS_012_report].[year].[year]" sourceCaption="year" count="11">
          <ranges>
            <range startItem="0">
              <i n="[DemoS_012_report].[year].&amp;[2005]" c="2005"/>
              <i n="[DemoS_012_report].[year].&amp;[2006]" c="2006"/>
              <i n="[DemoS_012_report].[year].&amp;[2010]" c="2010"/>
              <i n="[DemoS_012_report].[year].&amp;[2015]" c="2015"/>
              <i n="[DemoS_012_report].[year].&amp;[2020]" c="2020"/>
              <i n="[DemoS_012_report].[year].&amp;[2025]" c="2025"/>
              <i n="[DemoS_012_report].[year].&amp;[2030]" c="2030"/>
              <i n="[DemoS_012_report].[year].&amp;[2035]" c="2035"/>
              <i n="[DemoS_012_report].[year].&amp;[2040]" c="2040"/>
              <i n="[DemoS_012_report].[year].&amp;[2045]" c="2045"/>
              <i n="[DemoS_012_report].[year].&amp;[2050]" c="2050"/>
            </range>
          </ranges>
        </level>
      </levels>
      <selections count="1">
        <selection n="[DemoS_012_report].[year].&amp;[203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31F00FC-C234-4178-8EB6-10D83B45A45C}" cache="Slicer_year" caption="year"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144D-2797-4D13-B926-408CC9468BDD}">
  <sheetPr codeName="Sheet7"/>
  <dimension ref="A1:D13"/>
  <sheetViews>
    <sheetView workbookViewId="0">
      <selection activeCell="B26" sqref="B26"/>
    </sheetView>
  </sheetViews>
  <sheetFormatPr defaultRowHeight="15" x14ac:dyDescent="0.25"/>
  <cols>
    <col min="2" max="2" width="53" customWidth="1"/>
    <col min="3" max="3" width="84.42578125" bestFit="1" customWidth="1"/>
  </cols>
  <sheetData>
    <row r="1" spans="1:4" x14ac:dyDescent="0.25">
      <c r="A1" s="7"/>
      <c r="B1" s="8" t="s">
        <v>36</v>
      </c>
      <c r="C1" s="7"/>
      <c r="D1" s="7"/>
    </row>
    <row r="2" spans="1:4" x14ac:dyDescent="0.25">
      <c r="A2" s="7"/>
      <c r="B2" s="7"/>
      <c r="C2" s="7"/>
      <c r="D2" s="7"/>
    </row>
    <row r="3" spans="1:4" ht="45.75" customHeight="1" x14ac:dyDescent="0.25">
      <c r="A3" s="7"/>
      <c r="B3" s="11" t="e" vm="13">
        <v>#VALUE!</v>
      </c>
      <c r="C3" s="12" t="s">
        <v>37</v>
      </c>
      <c r="D3" s="7"/>
    </row>
    <row r="4" spans="1:4" x14ac:dyDescent="0.25">
      <c r="A4" s="7"/>
      <c r="B4" s="7"/>
      <c r="C4" s="9"/>
      <c r="D4" s="7"/>
    </row>
    <row r="5" spans="1:4" ht="25.5" customHeight="1" x14ac:dyDescent="0.25">
      <c r="A5" s="7"/>
      <c r="B5" s="13" t="e" vm="14">
        <v>#VALUE!</v>
      </c>
      <c r="C5" s="9" t="s">
        <v>35</v>
      </c>
      <c r="D5" s="7"/>
    </row>
    <row r="6" spans="1:4" ht="25.5" customHeight="1" x14ac:dyDescent="0.25">
      <c r="A6" s="7"/>
      <c r="B6" s="13"/>
      <c r="C6" s="10" t="str">
        <f ca="1">LEFT(CELL("filename",$A$1),FIND("?",SUBSTITUTE(CELL("filename",$A$1),"\","?",LEN(CELL("filename",$A$1))-LEN(SUBSTITUTE(CELL("filename",$A$1),"\","")))))&amp;"compare_timesreport.csv"</f>
        <v>C:\kristoffer\DemoS_012_timesreport\TIMESreport\compare_timesreport.csv</v>
      </c>
      <c r="D6" s="7"/>
    </row>
    <row r="7" spans="1:4" ht="19.5" customHeight="1" x14ac:dyDescent="0.25">
      <c r="A7" s="7"/>
      <c r="B7" s="7"/>
      <c r="C7" s="7"/>
      <c r="D7" s="7"/>
    </row>
    <row r="8" spans="1:4" x14ac:dyDescent="0.25">
      <c r="A8" s="7"/>
      <c r="B8" s="7"/>
      <c r="C8" s="7"/>
      <c r="D8" s="7"/>
    </row>
    <row r="9" spans="1:4" x14ac:dyDescent="0.25">
      <c r="A9" s="7"/>
      <c r="B9" s="7"/>
      <c r="C9" s="7"/>
      <c r="D9" s="7"/>
    </row>
    <row r="10" spans="1:4" x14ac:dyDescent="0.25">
      <c r="A10" s="7"/>
      <c r="B10" s="7"/>
      <c r="C10" s="7"/>
      <c r="D10" s="7"/>
    </row>
    <row r="11" spans="1:4" x14ac:dyDescent="0.25">
      <c r="A11" s="7"/>
      <c r="B11" s="7"/>
      <c r="C11" s="7"/>
      <c r="D11" s="7"/>
    </row>
    <row r="12" spans="1:4" x14ac:dyDescent="0.25">
      <c r="A12" s="7"/>
      <c r="B12" s="7"/>
      <c r="C12" s="7"/>
      <c r="D12" s="7"/>
    </row>
    <row r="13" spans="1:4" x14ac:dyDescent="0.25">
      <c r="A13" s="7"/>
      <c r="B13" s="7"/>
      <c r="C13" s="7"/>
      <c r="D13" s="7"/>
    </row>
  </sheetData>
  <mergeCells count="1">
    <mergeCell ref="B5: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688A-3E0A-4DD9-B66D-363344E841CD}">
  <sheetPr codeName="Sheet1"/>
  <dimension ref="A1:F10"/>
  <sheetViews>
    <sheetView workbookViewId="0">
      <selection activeCell="B10" sqref="B10"/>
    </sheetView>
  </sheetViews>
  <sheetFormatPr defaultRowHeight="15" x14ac:dyDescent="0.25"/>
  <cols>
    <col min="1" max="1" width="23.7109375" bestFit="1" customWidth="1"/>
    <col min="2" max="2" width="16.85546875" bestFit="1" customWidth="1"/>
    <col min="3" max="3" width="8" bestFit="1" customWidth="1"/>
    <col min="4" max="4" width="9" bestFit="1" customWidth="1"/>
    <col min="5" max="5" width="6.42578125" bestFit="1" customWidth="1"/>
    <col min="6" max="6" width="11.28515625" bestFit="1" customWidth="1"/>
    <col min="7" max="7" width="7" bestFit="1" customWidth="1"/>
    <col min="8" max="8" width="4.42578125" bestFit="1" customWidth="1"/>
    <col min="9" max="10" width="7" bestFit="1" customWidth="1"/>
    <col min="11" max="11" width="6" bestFit="1" customWidth="1"/>
    <col min="12" max="12" width="7" bestFit="1" customWidth="1"/>
    <col min="13" max="13" width="8.7109375" bestFit="1" customWidth="1"/>
    <col min="14" max="14" width="8" bestFit="1" customWidth="1"/>
    <col min="15" max="15" width="5.140625" bestFit="1" customWidth="1"/>
    <col min="16" max="16" width="6.85546875" bestFit="1" customWidth="1"/>
    <col min="17" max="17" width="7" bestFit="1" customWidth="1"/>
    <col min="18" max="18" width="4.42578125" bestFit="1" customWidth="1"/>
    <col min="19" max="20" width="7" bestFit="1" customWidth="1"/>
    <col min="21" max="21" width="6" bestFit="1" customWidth="1"/>
    <col min="22" max="22" width="7" bestFit="1" customWidth="1"/>
    <col min="23" max="23" width="7.7109375" bestFit="1" customWidth="1"/>
    <col min="24" max="24" width="8" bestFit="1" customWidth="1"/>
    <col min="25" max="25" width="5.140625" bestFit="1" customWidth="1"/>
    <col min="26" max="26" width="7" bestFit="1" customWidth="1"/>
    <col min="27" max="27" width="6" bestFit="1" customWidth="1"/>
    <col min="28" max="28" width="4.7109375" bestFit="1" customWidth="1"/>
    <col min="29" max="29" width="6" bestFit="1" customWidth="1"/>
    <col min="30" max="30" width="6.85546875" bestFit="1" customWidth="1"/>
    <col min="31" max="31" width="7" bestFit="1" customWidth="1"/>
    <col min="32" max="32" width="4.42578125" bestFit="1" customWidth="1"/>
    <col min="33" max="34" width="7" bestFit="1" customWidth="1"/>
    <col min="35" max="35" width="6" bestFit="1" customWidth="1"/>
    <col min="36" max="36" width="7" bestFit="1" customWidth="1"/>
    <col min="37" max="37" width="8.7109375" bestFit="1" customWidth="1"/>
    <col min="38" max="38" width="8" bestFit="1" customWidth="1"/>
    <col min="39" max="39" width="5.140625" bestFit="1" customWidth="1"/>
    <col min="40" max="41" width="7" bestFit="1" customWidth="1"/>
    <col min="42" max="42" width="4.7109375" bestFit="1" customWidth="1"/>
    <col min="43" max="43" width="7" bestFit="1" customWidth="1"/>
    <col min="44" max="44" width="6.85546875" bestFit="1" customWidth="1"/>
    <col min="45" max="45" width="7" bestFit="1" customWidth="1"/>
    <col min="46" max="46" width="4.42578125" bestFit="1" customWidth="1"/>
    <col min="47" max="48" width="7" bestFit="1" customWidth="1"/>
    <col min="49" max="49" width="6" bestFit="1" customWidth="1"/>
    <col min="50" max="50" width="7" bestFit="1" customWidth="1"/>
    <col min="51" max="51" width="8.7109375" bestFit="1" customWidth="1"/>
    <col min="52" max="52" width="8" bestFit="1" customWidth="1"/>
    <col min="53" max="53" width="5.140625" bestFit="1" customWidth="1"/>
    <col min="54" max="55" width="7" bestFit="1" customWidth="1"/>
    <col min="56" max="56" width="4.7109375" bestFit="1" customWidth="1"/>
    <col min="57" max="57" width="7" bestFit="1" customWidth="1"/>
    <col min="58" max="58" width="8" bestFit="1" customWidth="1"/>
    <col min="59" max="59" width="7" bestFit="1" customWidth="1"/>
    <col min="60" max="60" width="5" bestFit="1" customWidth="1"/>
    <col min="61" max="62" width="7" bestFit="1" customWidth="1"/>
    <col min="63" max="63" width="6" bestFit="1" customWidth="1"/>
    <col min="64" max="64" width="8" bestFit="1" customWidth="1"/>
    <col min="65" max="65" width="8.7109375" bestFit="1" customWidth="1"/>
    <col min="66" max="66" width="8" bestFit="1" customWidth="1"/>
    <col min="67" max="67" width="6" bestFit="1" customWidth="1"/>
    <col min="68" max="69" width="7" bestFit="1" customWidth="1"/>
    <col min="70" max="70" width="10" bestFit="1" customWidth="1"/>
    <col min="71" max="71" width="7" bestFit="1" customWidth="1"/>
    <col min="72" max="72" width="8" bestFit="1" customWidth="1"/>
    <col min="73" max="73" width="7" bestFit="1" customWidth="1"/>
    <col min="74" max="74" width="5" bestFit="1" customWidth="1"/>
    <col min="75" max="77" width="7" bestFit="1" customWidth="1"/>
    <col min="78" max="78" width="8" bestFit="1" customWidth="1"/>
    <col min="79" max="79" width="8.7109375" bestFit="1" customWidth="1"/>
    <col min="80" max="80" width="8" bestFit="1" customWidth="1"/>
    <col min="81" max="81" width="6" bestFit="1" customWidth="1"/>
    <col min="82" max="83" width="8" bestFit="1" customWidth="1"/>
    <col min="84" max="84" width="10" bestFit="1" customWidth="1"/>
    <col min="85" max="85" width="7" bestFit="1" customWidth="1"/>
    <col min="86" max="86" width="8" bestFit="1" customWidth="1"/>
    <col min="87" max="87" width="7" bestFit="1" customWidth="1"/>
    <col min="88" max="88" width="6" bestFit="1" customWidth="1"/>
    <col min="89" max="91" width="7" bestFit="1" customWidth="1"/>
    <col min="92" max="92" width="8" bestFit="1" customWidth="1"/>
    <col min="93" max="93" width="8.7109375" bestFit="1" customWidth="1"/>
    <col min="94" max="94" width="8" bestFit="1" customWidth="1"/>
    <col min="95" max="95" width="6" bestFit="1" customWidth="1"/>
    <col min="96" max="96" width="7" bestFit="1" customWidth="1"/>
    <col min="97" max="97" width="8" bestFit="1" customWidth="1"/>
    <col min="98" max="98" width="10" bestFit="1" customWidth="1"/>
    <col min="99" max="99" width="7" bestFit="1" customWidth="1"/>
    <col min="100" max="100" width="8" bestFit="1" customWidth="1"/>
    <col min="101" max="101" width="7" bestFit="1" customWidth="1"/>
    <col min="102" max="102" width="6" bestFit="1" customWidth="1"/>
    <col min="103" max="105" width="7" bestFit="1" customWidth="1"/>
    <col min="106" max="106" width="8" bestFit="1" customWidth="1"/>
    <col min="107" max="107" width="9.7109375" bestFit="1" customWidth="1"/>
    <col min="108" max="108" width="8" bestFit="1" customWidth="1"/>
    <col min="109" max="109" width="6" bestFit="1" customWidth="1"/>
    <col min="110" max="111" width="8" bestFit="1" customWidth="1"/>
    <col min="112" max="112" width="9" bestFit="1" customWidth="1"/>
    <col min="113" max="113" width="7" bestFit="1" customWidth="1"/>
    <col min="114" max="114" width="8" bestFit="1" customWidth="1"/>
    <col min="115" max="115" width="7" bestFit="1" customWidth="1"/>
    <col min="116" max="116" width="6" bestFit="1" customWidth="1"/>
    <col min="117" max="119" width="7" bestFit="1" customWidth="1"/>
    <col min="120" max="120" width="8" bestFit="1" customWidth="1"/>
    <col min="121" max="121" width="9.7109375" bestFit="1" customWidth="1"/>
    <col min="122" max="122" width="8" bestFit="1" customWidth="1"/>
    <col min="123" max="123" width="6" bestFit="1" customWidth="1"/>
    <col min="124" max="124" width="7" bestFit="1" customWidth="1"/>
    <col min="125" max="125" width="8" bestFit="1" customWidth="1"/>
    <col min="126" max="126" width="5" bestFit="1" customWidth="1"/>
    <col min="127" max="127" width="7" bestFit="1" customWidth="1"/>
    <col min="128" max="128" width="8" bestFit="1" customWidth="1"/>
    <col min="129" max="129" width="7" bestFit="1" customWidth="1"/>
    <col min="130" max="130" width="6" bestFit="1" customWidth="1"/>
    <col min="131" max="133" width="7" bestFit="1" customWidth="1"/>
    <col min="134" max="134" width="8" bestFit="1" customWidth="1"/>
    <col min="135" max="135" width="9.7109375" bestFit="1" customWidth="1"/>
    <col min="136" max="136" width="8" bestFit="1" customWidth="1"/>
    <col min="137" max="137" width="6" bestFit="1" customWidth="1"/>
    <col min="138" max="139" width="8" bestFit="1" customWidth="1"/>
    <col min="140" max="140" width="5" bestFit="1" customWidth="1"/>
    <col min="141" max="141" width="7" bestFit="1" customWidth="1"/>
    <col min="142" max="142" width="8" bestFit="1" customWidth="1"/>
    <col min="143" max="143" width="7" bestFit="1" customWidth="1"/>
    <col min="144" max="144" width="6" bestFit="1" customWidth="1"/>
    <col min="145" max="147" width="7" bestFit="1" customWidth="1"/>
    <col min="148" max="148" width="8" bestFit="1" customWidth="1"/>
    <col min="149" max="149" width="9.7109375" bestFit="1" customWidth="1"/>
    <col min="150" max="150" width="8" bestFit="1" customWidth="1"/>
    <col min="151" max="151" width="6" bestFit="1" customWidth="1"/>
    <col min="152" max="152" width="7" bestFit="1" customWidth="1"/>
    <col min="153" max="153" width="8" bestFit="1" customWidth="1"/>
    <col min="154" max="154" width="5" bestFit="1" customWidth="1"/>
    <col min="155" max="155" width="7" bestFit="1" customWidth="1"/>
    <col min="156" max="156" width="11.28515625" bestFit="1" customWidth="1"/>
  </cols>
  <sheetData>
    <row r="1" spans="1:6" x14ac:dyDescent="0.25">
      <c r="A1" s="1" t="s">
        <v>9</v>
      </c>
      <c r="B1" t="s" vm="8">
        <v>46</v>
      </c>
    </row>
    <row r="2" spans="1:6" x14ac:dyDescent="0.25">
      <c r="A2" s="1" t="s">
        <v>19</v>
      </c>
      <c r="B2" t="s" vm="7">
        <v>15</v>
      </c>
    </row>
    <row r="3" spans="1:6" x14ac:dyDescent="0.25">
      <c r="A3" s="1" t="s">
        <v>14</v>
      </c>
      <c r="B3" t="s" vm="4">
        <v>15</v>
      </c>
    </row>
    <row r="4" spans="1:6" x14ac:dyDescent="0.25">
      <c r="A4" s="1" t="s">
        <v>47</v>
      </c>
      <c r="B4" t="s" vm="9">
        <v>15</v>
      </c>
    </row>
    <row r="6" spans="1:6" x14ac:dyDescent="0.25">
      <c r="A6" s="1" t="s">
        <v>2</v>
      </c>
      <c r="B6" s="1" t="s">
        <v>6</v>
      </c>
    </row>
    <row r="7" spans="1:6" x14ac:dyDescent="0.25">
      <c r="B7">
        <v>2005</v>
      </c>
      <c r="F7" t="s">
        <v>1</v>
      </c>
    </row>
    <row r="8" spans="1:6" x14ac:dyDescent="0.25">
      <c r="A8" s="1" t="s">
        <v>0</v>
      </c>
      <c r="B8" t="s">
        <v>11</v>
      </c>
      <c r="C8" t="s">
        <v>10</v>
      </c>
      <c r="D8" t="s">
        <v>13</v>
      </c>
      <c r="E8" t="s">
        <v>12</v>
      </c>
    </row>
    <row r="9" spans="1:6" x14ac:dyDescent="0.25">
      <c r="A9" s="2" t="s">
        <v>34</v>
      </c>
      <c r="B9" s="6">
        <v>34121262.542000338</v>
      </c>
      <c r="C9" s="6">
        <v>4084256.630821656</v>
      </c>
      <c r="D9" s="6">
        <v>82612754.595121205</v>
      </c>
      <c r="E9" s="6">
        <v>0</v>
      </c>
      <c r="F9" s="6">
        <v>120818273.7679432</v>
      </c>
    </row>
    <row r="10" spans="1:6" x14ac:dyDescent="0.25">
      <c r="A10" s="2" t="s">
        <v>60</v>
      </c>
      <c r="B10" s="6">
        <v>40271845.698383585</v>
      </c>
      <c r="C10" s="6">
        <v>4158550.5119921742</v>
      </c>
      <c r="D10" s="6">
        <v>80056616.876212195</v>
      </c>
      <c r="E10" s="6">
        <v>0</v>
      </c>
      <c r="F10" s="6">
        <v>124487013.08658795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2C36-B106-43F2-BB1E-333F102E87F7}">
  <sheetPr codeName="Sheet2"/>
  <dimension ref="A2:C79"/>
  <sheetViews>
    <sheetView topLeftCell="A2" workbookViewId="0">
      <selection activeCell="B14" sqref="B14"/>
    </sheetView>
  </sheetViews>
  <sheetFormatPr defaultRowHeight="15" x14ac:dyDescent="0.25"/>
  <cols>
    <col min="1" max="1" width="13.42578125" bestFit="1" customWidth="1"/>
    <col min="2" max="2" width="16.85546875" bestFit="1" customWidth="1"/>
    <col min="3" max="3" width="12.7109375" bestFit="1" customWidth="1"/>
    <col min="4" max="4" width="32.85546875" bestFit="1" customWidth="1"/>
    <col min="5" max="5" width="24.85546875" bestFit="1" customWidth="1"/>
    <col min="6" max="6" width="27.85546875" bestFit="1" customWidth="1"/>
    <col min="7" max="7" width="26" bestFit="1" customWidth="1"/>
    <col min="8" max="8" width="26.7109375" bestFit="1" customWidth="1"/>
    <col min="9" max="9" width="23" bestFit="1" customWidth="1"/>
    <col min="10" max="10" width="26" bestFit="1" customWidth="1"/>
    <col min="11" max="11" width="24.140625" bestFit="1" customWidth="1"/>
    <col min="12" max="20" width="12" bestFit="1" customWidth="1"/>
  </cols>
  <sheetData>
    <row r="2" spans="1:3" x14ac:dyDescent="0.25">
      <c r="A2" s="1" t="s">
        <v>16</v>
      </c>
      <c r="B2" t="s" vm="2">
        <v>3</v>
      </c>
    </row>
    <row r="3" spans="1:3" x14ac:dyDescent="0.25">
      <c r="A3" s="1" t="s">
        <v>19</v>
      </c>
      <c r="B3" t="s" vm="7">
        <v>15</v>
      </c>
    </row>
    <row r="5" spans="1:3" x14ac:dyDescent="0.25">
      <c r="A5" s="1" t="s">
        <v>2</v>
      </c>
      <c r="B5" s="1" t="s">
        <v>6</v>
      </c>
    </row>
    <row r="6" spans="1:3" x14ac:dyDescent="0.25">
      <c r="B6" t="s">
        <v>8</v>
      </c>
    </row>
    <row r="7" spans="1:3" x14ac:dyDescent="0.25">
      <c r="A7" s="1" t="s">
        <v>0</v>
      </c>
      <c r="B7" t="s">
        <v>61</v>
      </c>
      <c r="C7" t="s">
        <v>62</v>
      </c>
    </row>
    <row r="8" spans="1:3" x14ac:dyDescent="0.25">
      <c r="A8" s="2" t="s">
        <v>48</v>
      </c>
      <c r="B8" s="6"/>
      <c r="C8" s="6"/>
    </row>
    <row r="9" spans="1:3" x14ac:dyDescent="0.25">
      <c r="A9" s="3">
        <v>2005</v>
      </c>
      <c r="B9" s="6">
        <v>36156.131297436601</v>
      </c>
      <c r="C9" s="6">
        <v>36156.131297436601</v>
      </c>
    </row>
    <row r="10" spans="1:3" x14ac:dyDescent="0.25">
      <c r="A10" s="3">
        <v>2006</v>
      </c>
      <c r="B10" s="6">
        <v>37785.616716295001</v>
      </c>
      <c r="C10" s="6">
        <v>37785.616716295001</v>
      </c>
    </row>
    <row r="11" spans="1:3" x14ac:dyDescent="0.25">
      <c r="A11" s="3">
        <v>2010</v>
      </c>
      <c r="B11" s="6">
        <v>45104.550364934097</v>
      </c>
      <c r="C11" s="6">
        <v>45104.550364934097</v>
      </c>
    </row>
    <row r="12" spans="1:3" x14ac:dyDescent="0.25">
      <c r="A12" s="3">
        <v>2015</v>
      </c>
      <c r="B12" s="6">
        <v>56370.052943859402</v>
      </c>
      <c r="C12" s="6">
        <v>56370.052943859402</v>
      </c>
    </row>
    <row r="13" spans="1:3" x14ac:dyDescent="0.25">
      <c r="A13" s="3">
        <v>2020</v>
      </c>
      <c r="B13" s="6">
        <v>70577.103687727795</v>
      </c>
      <c r="C13" s="6">
        <v>70577.103687727795</v>
      </c>
    </row>
    <row r="14" spans="1:3" x14ac:dyDescent="0.25">
      <c r="A14" s="3">
        <v>2025</v>
      </c>
      <c r="B14" s="6">
        <v>88523.655830069198</v>
      </c>
      <c r="C14" s="6">
        <v>88523.655830069198</v>
      </c>
    </row>
    <row r="15" spans="1:3" x14ac:dyDescent="0.25">
      <c r="A15" s="3">
        <v>2030</v>
      </c>
      <c r="B15" s="6">
        <v>92611.213338021305</v>
      </c>
      <c r="C15" s="6">
        <v>92611.213338021305</v>
      </c>
    </row>
    <row r="16" spans="1:3" x14ac:dyDescent="0.25">
      <c r="A16" s="3">
        <v>2035</v>
      </c>
      <c r="B16" s="6">
        <v>96848.757779093197</v>
      </c>
      <c r="C16" s="6">
        <v>96848.757779093197</v>
      </c>
    </row>
    <row r="17" spans="1:3" x14ac:dyDescent="0.25">
      <c r="A17" s="3">
        <v>2040</v>
      </c>
      <c r="B17" s="6">
        <v>101241.257537249</v>
      </c>
      <c r="C17" s="6">
        <v>101241.257537249</v>
      </c>
    </row>
    <row r="18" spans="1:3" x14ac:dyDescent="0.25">
      <c r="A18" s="3">
        <v>2045</v>
      </c>
      <c r="B18" s="6">
        <v>105793.83627676161</v>
      </c>
      <c r="C18" s="6">
        <v>105793.83627676161</v>
      </c>
    </row>
    <row r="19" spans="1:3" x14ac:dyDescent="0.25">
      <c r="A19" s="3">
        <v>2050</v>
      </c>
      <c r="B19" s="6">
        <v>110511.7776162825</v>
      </c>
      <c r="C19" s="6">
        <v>110511.7776162825</v>
      </c>
    </row>
    <row r="20" spans="1:3" x14ac:dyDescent="0.25">
      <c r="A20" s="2" t="s">
        <v>49</v>
      </c>
      <c r="B20" s="6"/>
      <c r="C20" s="6"/>
    </row>
    <row r="21" spans="1:3" x14ac:dyDescent="0.25">
      <c r="A21" s="3">
        <v>2005</v>
      </c>
      <c r="B21" s="6">
        <v>192912.61058740012</v>
      </c>
      <c r="C21" s="6">
        <v>192912.61058740012</v>
      </c>
    </row>
    <row r="22" spans="1:3" x14ac:dyDescent="0.25">
      <c r="A22" s="3">
        <v>2006</v>
      </c>
      <c r="B22" s="6">
        <v>207228.46018103292</v>
      </c>
      <c r="C22" s="6">
        <v>207228.46018103301</v>
      </c>
    </row>
    <row r="23" spans="1:3" x14ac:dyDescent="0.25">
      <c r="A23" s="3">
        <v>2010</v>
      </c>
      <c r="B23" s="6">
        <v>248369.34567063442</v>
      </c>
      <c r="C23" s="6">
        <v>248369.34567063442</v>
      </c>
    </row>
    <row r="24" spans="1:3" x14ac:dyDescent="0.25">
      <c r="A24" s="3">
        <v>2015</v>
      </c>
      <c r="B24" s="6">
        <v>333933.6748099362</v>
      </c>
      <c r="C24" s="6">
        <v>333933.6748099362</v>
      </c>
    </row>
    <row r="25" spans="1:3" x14ac:dyDescent="0.25">
      <c r="A25" s="3">
        <v>2020</v>
      </c>
      <c r="B25" s="6">
        <v>406236.80547418818</v>
      </c>
      <c r="C25" s="6">
        <v>406236.80547418818</v>
      </c>
    </row>
    <row r="26" spans="1:3" x14ac:dyDescent="0.25">
      <c r="A26" s="3">
        <v>2025</v>
      </c>
      <c r="B26" s="6">
        <v>522729.37705353578</v>
      </c>
      <c r="C26" s="6">
        <v>522729.37705353578</v>
      </c>
    </row>
    <row r="27" spans="1:3" x14ac:dyDescent="0.25">
      <c r="A27" s="3">
        <v>2030</v>
      </c>
      <c r="B27" s="6">
        <v>581934.77316194051</v>
      </c>
      <c r="C27" s="6">
        <v>581934.77316194051</v>
      </c>
    </row>
    <row r="28" spans="1:3" x14ac:dyDescent="0.25">
      <c r="A28" s="3">
        <v>2035</v>
      </c>
      <c r="B28" s="6">
        <v>568100.02460297418</v>
      </c>
      <c r="C28" s="6">
        <v>568100.02460297418</v>
      </c>
    </row>
    <row r="29" spans="1:3" x14ac:dyDescent="0.25">
      <c r="A29" s="3">
        <v>2040</v>
      </c>
      <c r="B29" s="6">
        <v>580261.80701054458</v>
      </c>
      <c r="C29" s="6">
        <v>580261.80701054458</v>
      </c>
    </row>
    <row r="30" spans="1:3" x14ac:dyDescent="0.25">
      <c r="A30" s="3">
        <v>2045</v>
      </c>
      <c r="B30" s="6">
        <v>553896.82055710885</v>
      </c>
      <c r="C30" s="6">
        <v>553896.82055710978</v>
      </c>
    </row>
    <row r="31" spans="1:3" x14ac:dyDescent="0.25">
      <c r="A31" s="3">
        <v>2050</v>
      </c>
      <c r="B31" s="6">
        <v>519045.24866308516</v>
      </c>
      <c r="C31" s="6">
        <v>519045.24866308516</v>
      </c>
    </row>
    <row r="32" spans="1:3" x14ac:dyDescent="0.25">
      <c r="A32" s="2" t="s">
        <v>50</v>
      </c>
      <c r="B32" s="6"/>
      <c r="C32" s="6"/>
    </row>
    <row r="33" spans="1:3" x14ac:dyDescent="0.25">
      <c r="A33" s="3">
        <v>2005</v>
      </c>
      <c r="B33" s="6">
        <v>1057538.978799144</v>
      </c>
      <c r="C33" s="6">
        <v>1057538.978799144</v>
      </c>
    </row>
    <row r="34" spans="1:3" x14ac:dyDescent="0.25">
      <c r="A34" s="3">
        <v>2006</v>
      </c>
      <c r="B34" s="6">
        <v>987192.83603297931</v>
      </c>
      <c r="C34" s="6">
        <v>987192.83603297931</v>
      </c>
    </row>
    <row r="35" spans="1:3" x14ac:dyDescent="0.25">
      <c r="A35" s="3">
        <v>2010</v>
      </c>
      <c r="B35" s="6">
        <v>1089692.0173067558</v>
      </c>
      <c r="C35" s="6">
        <v>1089692.0173067562</v>
      </c>
    </row>
    <row r="36" spans="1:3" x14ac:dyDescent="0.25">
      <c r="A36" s="3">
        <v>2015</v>
      </c>
      <c r="B36" s="6">
        <v>1256715.1713425077</v>
      </c>
      <c r="C36" s="6">
        <v>1256715.1713425079</v>
      </c>
    </row>
    <row r="37" spans="1:3" x14ac:dyDescent="0.25">
      <c r="A37" s="3">
        <v>2020</v>
      </c>
      <c r="B37" s="6">
        <v>1223027.5103496935</v>
      </c>
      <c r="C37" s="6">
        <v>1223027.5103496932</v>
      </c>
    </row>
    <row r="38" spans="1:3" x14ac:dyDescent="0.25">
      <c r="A38" s="3">
        <v>2025</v>
      </c>
      <c r="B38" s="6">
        <v>1399470.1995127341</v>
      </c>
      <c r="C38" s="6">
        <v>1394941.4197692312</v>
      </c>
    </row>
    <row r="39" spans="1:3" x14ac:dyDescent="0.25">
      <c r="A39" s="3">
        <v>2030</v>
      </c>
      <c r="B39" s="6">
        <v>1401581.9735346651</v>
      </c>
      <c r="C39" s="6">
        <v>1397053.1937911625</v>
      </c>
    </row>
    <row r="40" spans="1:3" x14ac:dyDescent="0.25">
      <c r="A40" s="3">
        <v>2035</v>
      </c>
      <c r="B40" s="6">
        <v>1351014.1663526637</v>
      </c>
      <c r="C40" s="6">
        <v>1346485.3866091606</v>
      </c>
    </row>
    <row r="41" spans="1:3" x14ac:dyDescent="0.25">
      <c r="A41" s="3">
        <v>2040</v>
      </c>
      <c r="B41" s="6">
        <v>1332704.3427342335</v>
      </c>
      <c r="C41" s="6">
        <v>1328175.5629907302</v>
      </c>
    </row>
    <row r="42" spans="1:3" x14ac:dyDescent="0.25">
      <c r="A42" s="3">
        <v>2045</v>
      </c>
      <c r="B42" s="6">
        <v>1308106.5460468617</v>
      </c>
      <c r="C42" s="6">
        <v>1303577.7663033584</v>
      </c>
    </row>
    <row r="43" spans="1:3" x14ac:dyDescent="0.25">
      <c r="A43" s="3">
        <v>2050</v>
      </c>
      <c r="B43" s="6">
        <v>1305400.4405864994</v>
      </c>
      <c r="C43" s="6">
        <v>1298350.4015604798</v>
      </c>
    </row>
    <row r="44" spans="1:3" x14ac:dyDescent="0.25">
      <c r="A44" s="2" t="s">
        <v>51</v>
      </c>
      <c r="B44" s="6"/>
      <c r="C44" s="6"/>
    </row>
    <row r="45" spans="1:3" x14ac:dyDescent="0.25">
      <c r="A45" s="3">
        <v>2005</v>
      </c>
      <c r="B45" s="6">
        <v>583078.82490000001</v>
      </c>
      <c r="C45" s="6">
        <v>583078.82490000001</v>
      </c>
    </row>
    <row r="46" spans="1:3" x14ac:dyDescent="0.25">
      <c r="A46" s="3">
        <v>2006</v>
      </c>
      <c r="B46" s="6">
        <v>586108.46451549605</v>
      </c>
      <c r="C46" s="6">
        <v>586108.46451549605</v>
      </c>
    </row>
    <row r="47" spans="1:3" x14ac:dyDescent="0.25">
      <c r="A47" s="3">
        <v>2010</v>
      </c>
      <c r="B47" s="6">
        <v>598269.51196435699</v>
      </c>
      <c r="C47" s="6">
        <v>598269.51196435699</v>
      </c>
    </row>
    <row r="48" spans="1:3" x14ac:dyDescent="0.25">
      <c r="A48" s="3">
        <v>2015</v>
      </c>
      <c r="B48" s="6">
        <v>613566.81024735607</v>
      </c>
      <c r="C48" s="6">
        <v>613566.81024735607</v>
      </c>
    </row>
    <row r="49" spans="1:3" x14ac:dyDescent="0.25">
      <c r="A49" s="3">
        <v>2020</v>
      </c>
      <c r="B49" s="6">
        <v>628971.37035469292</v>
      </c>
      <c r="C49" s="6">
        <v>628971.37035469292</v>
      </c>
    </row>
    <row r="50" spans="1:3" x14ac:dyDescent="0.25">
      <c r="A50" s="3">
        <v>2025</v>
      </c>
      <c r="B50" s="6">
        <v>644483.84674714599</v>
      </c>
      <c r="C50" s="6">
        <v>644483.84674714599</v>
      </c>
    </row>
    <row r="51" spans="1:3" x14ac:dyDescent="0.25">
      <c r="A51" s="3">
        <v>2030</v>
      </c>
      <c r="B51" s="6">
        <v>660104.89776318998</v>
      </c>
      <c r="C51" s="6">
        <v>660104.89776318998</v>
      </c>
    </row>
    <row r="52" spans="1:3" x14ac:dyDescent="0.25">
      <c r="A52" s="3">
        <v>2035</v>
      </c>
      <c r="B52" s="6">
        <v>675835.18564168597</v>
      </c>
      <c r="C52" s="6">
        <v>675835.18564168597</v>
      </c>
    </row>
    <row r="53" spans="1:3" x14ac:dyDescent="0.25">
      <c r="A53" s="3">
        <v>2040</v>
      </c>
      <c r="B53" s="6">
        <v>691675.37654474704</v>
      </c>
      <c r="C53" s="6">
        <v>691675.37654474704</v>
      </c>
    </row>
    <row r="54" spans="1:3" x14ac:dyDescent="0.25">
      <c r="A54" s="3">
        <v>2045</v>
      </c>
      <c r="B54" s="6">
        <v>707626.14058069699</v>
      </c>
      <c r="C54" s="6">
        <v>707626.14058069699</v>
      </c>
    </row>
    <row r="55" spans="1:3" x14ac:dyDescent="0.25">
      <c r="A55" s="3">
        <v>2050</v>
      </c>
      <c r="B55" s="6">
        <v>723688.15182720311</v>
      </c>
      <c r="C55" s="6">
        <v>723688.15182720311</v>
      </c>
    </row>
    <row r="56" spans="1:3" x14ac:dyDescent="0.25">
      <c r="A56" s="2" t="s">
        <v>52</v>
      </c>
      <c r="B56" s="6"/>
      <c r="C56" s="6"/>
    </row>
    <row r="57" spans="1:3" x14ac:dyDescent="0.25">
      <c r="A57" s="3">
        <v>2005</v>
      </c>
      <c r="B57" s="6">
        <v>562785.40340548474</v>
      </c>
      <c r="C57" s="6">
        <v>562785.40340548474</v>
      </c>
    </row>
    <row r="58" spans="1:3" x14ac:dyDescent="0.25">
      <c r="A58" s="3">
        <v>2006</v>
      </c>
      <c r="B58" s="6">
        <v>603582.88680185331</v>
      </c>
      <c r="C58" s="6">
        <v>603582.88680185331</v>
      </c>
    </row>
    <row r="59" spans="1:3" x14ac:dyDescent="0.25">
      <c r="A59" s="3">
        <v>2010</v>
      </c>
      <c r="B59" s="6">
        <v>700904.29430203431</v>
      </c>
      <c r="C59" s="6">
        <v>700904.29430203431</v>
      </c>
    </row>
    <row r="60" spans="1:3" x14ac:dyDescent="0.25">
      <c r="A60" s="3">
        <v>2015</v>
      </c>
      <c r="B60" s="6">
        <v>799954.84141602786</v>
      </c>
      <c r="C60" s="6">
        <v>799954.84141602786</v>
      </c>
    </row>
    <row r="61" spans="1:3" x14ac:dyDescent="0.25">
      <c r="A61" s="3">
        <v>2020</v>
      </c>
      <c r="B61" s="6">
        <v>931567.27511756599</v>
      </c>
      <c r="C61" s="6">
        <v>931567.27511756599</v>
      </c>
    </row>
    <row r="62" spans="1:3" x14ac:dyDescent="0.25">
      <c r="A62" s="3">
        <v>2025</v>
      </c>
      <c r="B62" s="6">
        <v>969328.74111192999</v>
      </c>
      <c r="C62" s="6">
        <v>969328.74111192999</v>
      </c>
    </row>
    <row r="63" spans="1:3" x14ac:dyDescent="0.25">
      <c r="A63" s="3">
        <v>2030</v>
      </c>
      <c r="B63" s="6">
        <v>964372.07426165789</v>
      </c>
      <c r="C63" s="6">
        <v>964372.07426165789</v>
      </c>
    </row>
    <row r="64" spans="1:3" x14ac:dyDescent="0.25">
      <c r="A64" s="3">
        <v>2035</v>
      </c>
      <c r="B64" s="6">
        <v>1028545.9865278259</v>
      </c>
      <c r="C64" s="6">
        <v>1028545.9865278259</v>
      </c>
    </row>
    <row r="65" spans="1:3" x14ac:dyDescent="0.25">
      <c r="A65" s="3">
        <v>2040</v>
      </c>
      <c r="B65" s="6">
        <v>1026985.0666159501</v>
      </c>
      <c r="C65" s="6">
        <v>1026985.0666159501</v>
      </c>
    </row>
    <row r="66" spans="1:3" x14ac:dyDescent="0.25">
      <c r="A66" s="3">
        <v>2045</v>
      </c>
      <c r="B66" s="6">
        <v>1048562.0880764649</v>
      </c>
      <c r="C66" s="6">
        <v>1048562.0880764649</v>
      </c>
    </row>
    <row r="67" spans="1:3" x14ac:dyDescent="0.25">
      <c r="A67" s="3">
        <v>2050</v>
      </c>
      <c r="B67" s="6">
        <v>1092846.0719158419</v>
      </c>
      <c r="C67" s="6">
        <v>1092846.0719158419</v>
      </c>
    </row>
    <row r="68" spans="1:3" x14ac:dyDescent="0.25">
      <c r="A68" s="2" t="s">
        <v>53</v>
      </c>
      <c r="B68" s="6"/>
      <c r="C68" s="6"/>
    </row>
    <row r="69" spans="1:3" x14ac:dyDescent="0.25">
      <c r="A69" s="3">
        <v>2005</v>
      </c>
      <c r="B69" s="6">
        <v>950664.51787899993</v>
      </c>
      <c r="C69" s="6">
        <v>950664.51787899993</v>
      </c>
    </row>
    <row r="70" spans="1:3" x14ac:dyDescent="0.25">
      <c r="A70" s="3">
        <v>2006</v>
      </c>
      <c r="B70" s="6">
        <v>977718.76585337881</v>
      </c>
      <c r="C70" s="6">
        <v>977718.76585337881</v>
      </c>
    </row>
    <row r="71" spans="1:3" x14ac:dyDescent="0.25">
      <c r="A71" s="3">
        <v>2010</v>
      </c>
      <c r="B71" s="6">
        <v>1000387.4732144759</v>
      </c>
      <c r="C71" s="6">
        <v>1000387.4732144759</v>
      </c>
    </row>
    <row r="72" spans="1:3" x14ac:dyDescent="0.25">
      <c r="A72" s="3">
        <v>2015</v>
      </c>
      <c r="B72" s="6">
        <v>1132855.9372481329</v>
      </c>
      <c r="C72" s="6">
        <v>640965.29539197858</v>
      </c>
    </row>
    <row r="73" spans="1:3" x14ac:dyDescent="0.25">
      <c r="A73" s="3">
        <v>2020</v>
      </c>
      <c r="B73" s="6">
        <v>1406059.2696033861</v>
      </c>
      <c r="C73" s="6">
        <v>260201.26681676297</v>
      </c>
    </row>
    <row r="74" spans="1:3" x14ac:dyDescent="0.25">
      <c r="A74" s="3">
        <v>2025</v>
      </c>
      <c r="B74" s="6">
        <v>2079544.2710446215</v>
      </c>
      <c r="C74" s="6">
        <v>164860.0715374616</v>
      </c>
    </row>
    <row r="75" spans="1:3" x14ac:dyDescent="0.25">
      <c r="A75" s="3">
        <v>2030</v>
      </c>
      <c r="B75" s="6">
        <v>2133469.8082628832</v>
      </c>
      <c r="C75" s="6">
        <v>170437.43337354899</v>
      </c>
    </row>
    <row r="76" spans="1:3" x14ac:dyDescent="0.25">
      <c r="A76" s="3">
        <v>2035</v>
      </c>
      <c r="B76" s="6">
        <v>2188723.0335779926</v>
      </c>
      <c r="C76" s="6">
        <v>176121.63129162361</v>
      </c>
    </row>
    <row r="77" spans="1:3" x14ac:dyDescent="0.25">
      <c r="A77" s="3">
        <v>2040</v>
      </c>
      <c r="B77" s="6">
        <v>2243991.032926227</v>
      </c>
      <c r="C77" s="6">
        <v>180164.47764291742</v>
      </c>
    </row>
    <row r="78" spans="1:3" x14ac:dyDescent="0.25">
      <c r="A78" s="3">
        <v>2045</v>
      </c>
      <c r="B78" s="6">
        <v>2300654.6185158966</v>
      </c>
      <c r="C78" s="6">
        <v>184498.90657310165</v>
      </c>
    </row>
    <row r="79" spans="1:3" x14ac:dyDescent="0.25">
      <c r="A79" s="3">
        <v>2050</v>
      </c>
      <c r="B79" s="6">
        <v>2358749.0306484215</v>
      </c>
      <c r="C79" s="6">
        <v>189173.63356082013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FF63-DEC1-44DF-968C-8930A4DFC629}">
  <sheetPr codeName="Sheet4"/>
  <dimension ref="B2:F107"/>
  <sheetViews>
    <sheetView tabSelected="1" workbookViewId="0">
      <selection activeCell="R9" sqref="R9"/>
    </sheetView>
  </sheetViews>
  <sheetFormatPr defaultRowHeight="15" x14ac:dyDescent="0.25"/>
  <cols>
    <col min="2" max="2" width="26.140625" bestFit="1" customWidth="1"/>
    <col min="3" max="3" width="17.28515625" bestFit="1" customWidth="1"/>
    <col min="4" max="4" width="6" bestFit="1" customWidth="1"/>
    <col min="5" max="5" width="8.7109375" bestFit="1" customWidth="1"/>
    <col min="6" max="6" width="10" bestFit="1" customWidth="1"/>
    <col min="7" max="7" width="3" bestFit="1" customWidth="1"/>
    <col min="8" max="8" width="4.5703125" bestFit="1" customWidth="1"/>
    <col min="9" max="9" width="6" bestFit="1" customWidth="1"/>
    <col min="10" max="10" width="4.7109375" bestFit="1" customWidth="1"/>
    <col min="11" max="11" width="5.28515625" bestFit="1" customWidth="1"/>
    <col min="12" max="12" width="11.28515625" bestFit="1" customWidth="1"/>
    <col min="13" max="13" width="4.7109375" bestFit="1" customWidth="1"/>
    <col min="14" max="14" width="6" bestFit="1" customWidth="1"/>
  </cols>
  <sheetData>
    <row r="2" spans="2:6" x14ac:dyDescent="0.25">
      <c r="B2" s="1" t="s">
        <v>41</v>
      </c>
      <c r="C2" t="s" vm="5">
        <v>15</v>
      </c>
    </row>
    <row r="3" spans="2:6" x14ac:dyDescent="0.25">
      <c r="B3" s="1" t="s">
        <v>9</v>
      </c>
      <c r="C3" t="s" vm="10">
        <v>40</v>
      </c>
    </row>
    <row r="4" spans="2:6" x14ac:dyDescent="0.25">
      <c r="B4" s="1" t="s">
        <v>21</v>
      </c>
      <c r="C4" t="s" vm="3">
        <v>22</v>
      </c>
    </row>
    <row r="5" spans="2:6" x14ac:dyDescent="0.25">
      <c r="B5" s="1" t="s">
        <v>54</v>
      </c>
      <c r="C5" t="s" vm="11">
        <v>20</v>
      </c>
    </row>
    <row r="7" spans="2:6" x14ac:dyDescent="0.25">
      <c r="B7" s="1" t="s">
        <v>2</v>
      </c>
      <c r="C7" s="1" t="s">
        <v>6</v>
      </c>
    </row>
    <row r="8" spans="2:6" x14ac:dyDescent="0.25">
      <c r="C8" t="s">
        <v>8</v>
      </c>
      <c r="D8" t="s">
        <v>57</v>
      </c>
      <c r="E8" t="s">
        <v>39</v>
      </c>
      <c r="F8" t="s">
        <v>38</v>
      </c>
    </row>
    <row r="9" spans="2:6" x14ac:dyDescent="0.25">
      <c r="B9" s="1" t="s">
        <v>0</v>
      </c>
      <c r="C9" t="s">
        <v>39</v>
      </c>
      <c r="D9" t="s">
        <v>39</v>
      </c>
      <c r="E9" t="s">
        <v>39</v>
      </c>
      <c r="F9" t="s">
        <v>39</v>
      </c>
    </row>
    <row r="10" spans="2:6" x14ac:dyDescent="0.25">
      <c r="B10" s="2" t="s">
        <v>34</v>
      </c>
      <c r="C10" s="6"/>
      <c r="D10" s="6"/>
      <c r="E10" s="6"/>
      <c r="F10" s="6"/>
    </row>
    <row r="11" spans="2:6" x14ac:dyDescent="0.25">
      <c r="B11" s="3" t="s">
        <v>17</v>
      </c>
      <c r="C11" s="6"/>
      <c r="D11" s="6"/>
      <c r="E11" s="6"/>
      <c r="F11" s="6"/>
    </row>
    <row r="12" spans="2:6" x14ac:dyDescent="0.25">
      <c r="B12" s="4" t="s">
        <v>25</v>
      </c>
      <c r="C12" s="6"/>
      <c r="D12" s="6"/>
      <c r="E12" s="6"/>
      <c r="F12" s="6"/>
    </row>
    <row r="13" spans="2:6" x14ac:dyDescent="0.25">
      <c r="B13" s="5" t="s">
        <v>31</v>
      </c>
      <c r="C13" s="6"/>
      <c r="D13" s="6">
        <v>226.86294329534493</v>
      </c>
      <c r="E13" s="6"/>
      <c r="F13" s="6"/>
    </row>
    <row r="14" spans="2:6" x14ac:dyDescent="0.25">
      <c r="B14" s="5" t="s">
        <v>33</v>
      </c>
      <c r="C14" s="6"/>
      <c r="D14" s="6">
        <v>260.13577195466149</v>
      </c>
      <c r="E14" s="6"/>
      <c r="F14" s="6"/>
    </row>
    <row r="15" spans="2:6" x14ac:dyDescent="0.25">
      <c r="B15" s="4" t="s">
        <v>26</v>
      </c>
      <c r="C15" s="6"/>
      <c r="D15" s="6"/>
      <c r="E15" s="6"/>
      <c r="F15" s="6"/>
    </row>
    <row r="16" spans="2:6" x14ac:dyDescent="0.25">
      <c r="B16" s="5" t="s">
        <v>31</v>
      </c>
      <c r="C16" s="6"/>
      <c r="D16" s="6">
        <v>21.681527007814118</v>
      </c>
      <c r="E16" s="6"/>
      <c r="F16" s="6"/>
    </row>
    <row r="17" spans="2:6" x14ac:dyDescent="0.25">
      <c r="B17" s="5" t="s">
        <v>33</v>
      </c>
      <c r="C17" s="6"/>
      <c r="D17" s="6">
        <v>14.15679886899283</v>
      </c>
      <c r="E17" s="6"/>
      <c r="F17" s="6"/>
    </row>
    <row r="18" spans="2:6" x14ac:dyDescent="0.25">
      <c r="B18" s="4" t="s">
        <v>18</v>
      </c>
      <c r="C18" s="6"/>
      <c r="D18" s="6"/>
      <c r="E18" s="6"/>
      <c r="F18" s="6"/>
    </row>
    <row r="19" spans="2:6" x14ac:dyDescent="0.25">
      <c r="B19" s="5" t="s">
        <v>31</v>
      </c>
      <c r="C19" s="6"/>
      <c r="D19" s="6"/>
      <c r="E19" s="6"/>
      <c r="F19" s="6">
        <v>140774721.05413494</v>
      </c>
    </row>
    <row r="20" spans="2:6" x14ac:dyDescent="0.25">
      <c r="B20" s="5" t="s">
        <v>33</v>
      </c>
      <c r="C20" s="6"/>
      <c r="D20" s="6"/>
      <c r="E20" s="6"/>
      <c r="F20" s="6">
        <v>22.640666642343298</v>
      </c>
    </row>
    <row r="21" spans="2:6" x14ac:dyDescent="0.25">
      <c r="B21" s="4" t="s">
        <v>43</v>
      </c>
      <c r="C21" s="6"/>
      <c r="D21" s="6"/>
      <c r="E21" s="6"/>
      <c r="F21" s="6"/>
    </row>
    <row r="22" spans="2:6" x14ac:dyDescent="0.25">
      <c r="B22" s="5" t="s">
        <v>31</v>
      </c>
      <c r="C22" s="6"/>
      <c r="D22" s="6"/>
      <c r="E22" s="6"/>
      <c r="F22" s="6">
        <v>5774.3715825720055</v>
      </c>
    </row>
    <row r="23" spans="2:6" x14ac:dyDescent="0.25">
      <c r="B23" s="5" t="s">
        <v>33</v>
      </c>
      <c r="C23" s="6"/>
      <c r="D23" s="6"/>
      <c r="E23" s="6"/>
      <c r="F23" s="6">
        <v>6991.5264447349782</v>
      </c>
    </row>
    <row r="24" spans="2:6" x14ac:dyDescent="0.25">
      <c r="B24" s="3" t="s">
        <v>23</v>
      </c>
      <c r="C24" s="6"/>
      <c r="D24" s="6"/>
      <c r="E24" s="6"/>
      <c r="F24" s="6"/>
    </row>
    <row r="25" spans="2:6" x14ac:dyDescent="0.25">
      <c r="B25" s="4" t="s">
        <v>3</v>
      </c>
      <c r="C25" s="6"/>
      <c r="D25" s="6"/>
      <c r="E25" s="6"/>
      <c r="F25" s="6"/>
    </row>
    <row r="26" spans="2:6" x14ac:dyDescent="0.25">
      <c r="B26" s="5" t="s">
        <v>31</v>
      </c>
      <c r="C26" s="6"/>
      <c r="D26" s="6"/>
      <c r="E26" s="6"/>
      <c r="F26" s="6">
        <v>5774.3715825720128</v>
      </c>
    </row>
    <row r="27" spans="2:6" x14ac:dyDescent="0.25">
      <c r="B27" s="5" t="s">
        <v>33</v>
      </c>
      <c r="C27" s="6"/>
      <c r="D27" s="6"/>
      <c r="E27" s="6"/>
      <c r="F27" s="6">
        <v>6991.5264447349782</v>
      </c>
    </row>
    <row r="28" spans="2:6" x14ac:dyDescent="0.25">
      <c r="B28" s="4" t="s">
        <v>4</v>
      </c>
      <c r="C28" s="6"/>
      <c r="D28" s="6"/>
      <c r="E28" s="6"/>
      <c r="F28" s="6"/>
    </row>
    <row r="29" spans="2:6" x14ac:dyDescent="0.25">
      <c r="B29" s="5" t="s">
        <v>31</v>
      </c>
      <c r="C29" s="6"/>
      <c r="D29" s="6"/>
      <c r="E29" s="6"/>
      <c r="F29" s="6">
        <v>14204.768300966762</v>
      </c>
    </row>
    <row r="30" spans="2:6" x14ac:dyDescent="0.25">
      <c r="B30" s="5" t="s">
        <v>33</v>
      </c>
      <c r="C30" s="6"/>
      <c r="D30" s="6"/>
      <c r="E30" s="6"/>
      <c r="F30" s="6">
        <v>15377.628696457492</v>
      </c>
    </row>
    <row r="31" spans="2:6" x14ac:dyDescent="0.25">
      <c r="B31" s="3" t="s">
        <v>7</v>
      </c>
      <c r="C31" s="6"/>
      <c r="D31" s="6"/>
      <c r="E31" s="6"/>
      <c r="F31" s="6"/>
    </row>
    <row r="32" spans="2:6" x14ac:dyDescent="0.25">
      <c r="B32" s="4" t="s">
        <v>3</v>
      </c>
      <c r="C32" s="6"/>
      <c r="D32" s="6"/>
      <c r="E32" s="6"/>
      <c r="F32" s="6"/>
    </row>
    <row r="33" spans="2:6" x14ac:dyDescent="0.25">
      <c r="B33" s="5" t="s">
        <v>31</v>
      </c>
      <c r="C33" s="6">
        <v>860903.78520263406</v>
      </c>
      <c r="D33" s="6"/>
      <c r="E33" s="6"/>
      <c r="F33" s="6"/>
    </row>
    <row r="34" spans="2:6" x14ac:dyDescent="0.25">
      <c r="B34" s="5" t="s">
        <v>33</v>
      </c>
      <c r="C34" s="6">
        <v>540678.18833203113</v>
      </c>
      <c r="D34" s="6"/>
      <c r="E34" s="6"/>
      <c r="F34" s="6"/>
    </row>
    <row r="35" spans="2:6" x14ac:dyDescent="0.25">
      <c r="B35" s="3" t="s">
        <v>24</v>
      </c>
      <c r="C35" s="6"/>
      <c r="D35" s="6"/>
      <c r="E35" s="6"/>
      <c r="F35" s="6"/>
    </row>
    <row r="36" spans="2:6" x14ac:dyDescent="0.25">
      <c r="B36" s="4" t="s">
        <v>30</v>
      </c>
      <c r="C36" s="6"/>
      <c r="D36" s="6"/>
      <c r="E36" s="6"/>
      <c r="F36" s="6"/>
    </row>
    <row r="37" spans="2:6" x14ac:dyDescent="0.25">
      <c r="B37" s="5" t="s">
        <v>31</v>
      </c>
      <c r="C37" s="6"/>
      <c r="D37" s="6"/>
      <c r="E37" s="6">
        <v>6678.5971335453014</v>
      </c>
      <c r="F37" s="6"/>
    </row>
    <row r="38" spans="2:6" x14ac:dyDescent="0.25">
      <c r="B38" s="5" t="s">
        <v>33</v>
      </c>
      <c r="C38" s="6"/>
      <c r="D38" s="6"/>
      <c r="E38" s="6">
        <v>3389.6918242606498</v>
      </c>
      <c r="F38" s="6"/>
    </row>
    <row r="39" spans="2:6" x14ac:dyDescent="0.25">
      <c r="B39" s="3" t="s">
        <v>58</v>
      </c>
      <c r="C39" s="6"/>
      <c r="D39" s="6"/>
      <c r="E39" s="6"/>
      <c r="F39" s="6"/>
    </row>
    <row r="40" spans="2:6" x14ac:dyDescent="0.25">
      <c r="B40" s="4" t="s">
        <v>27</v>
      </c>
      <c r="C40" s="6"/>
      <c r="D40" s="6"/>
      <c r="E40" s="6"/>
      <c r="F40" s="6"/>
    </row>
    <row r="41" spans="2:6" x14ac:dyDescent="0.25">
      <c r="B41" s="5" t="s">
        <v>31</v>
      </c>
      <c r="C41" s="6"/>
      <c r="D41" s="6"/>
      <c r="E41" s="6">
        <v>2293.016817326758</v>
      </c>
      <c r="F41" s="6"/>
    </row>
    <row r="42" spans="2:6" x14ac:dyDescent="0.25">
      <c r="B42" s="5" t="s">
        <v>33</v>
      </c>
      <c r="C42" s="6"/>
      <c r="D42" s="6"/>
      <c r="E42" s="6">
        <v>2827.2679169719604</v>
      </c>
      <c r="F42" s="6"/>
    </row>
    <row r="43" spans="2:6" x14ac:dyDescent="0.25">
      <c r="B43" s="4" t="s">
        <v>28</v>
      </c>
      <c r="C43" s="6"/>
      <c r="D43" s="6"/>
      <c r="E43" s="6"/>
      <c r="F43" s="6"/>
    </row>
    <row r="44" spans="2:6" x14ac:dyDescent="0.25">
      <c r="B44" s="5" t="s">
        <v>31</v>
      </c>
      <c r="C44" s="6"/>
      <c r="D44" s="6"/>
      <c r="E44" s="6">
        <v>7555.9184562877826</v>
      </c>
      <c r="F44" s="6"/>
    </row>
    <row r="45" spans="2:6" x14ac:dyDescent="0.25">
      <c r="B45" s="5" t="s">
        <v>33</v>
      </c>
      <c r="C45" s="6"/>
      <c r="D45" s="6"/>
      <c r="E45" s="6">
        <v>8365.0074817121022</v>
      </c>
      <c r="F45" s="6"/>
    </row>
    <row r="46" spans="2:6" x14ac:dyDescent="0.25">
      <c r="B46" s="4" t="s">
        <v>29</v>
      </c>
      <c r="C46" s="6"/>
      <c r="D46" s="6"/>
      <c r="E46" s="6"/>
      <c r="F46" s="6"/>
    </row>
    <row r="47" spans="2:6" x14ac:dyDescent="0.25">
      <c r="B47" s="5" t="s">
        <v>31</v>
      </c>
      <c r="C47" s="6"/>
      <c r="D47" s="6"/>
      <c r="E47" s="6">
        <v>12101.618447272744</v>
      </c>
      <c r="F47" s="6"/>
    </row>
    <row r="48" spans="2:6" x14ac:dyDescent="0.25">
      <c r="B48" s="5" t="s">
        <v>33</v>
      </c>
      <c r="C48" s="6"/>
      <c r="D48" s="6"/>
      <c r="E48" s="6">
        <v>9539.6335397618568</v>
      </c>
      <c r="F48" s="6"/>
    </row>
    <row r="49" spans="2:6" x14ac:dyDescent="0.25">
      <c r="B49" s="4" t="s">
        <v>32</v>
      </c>
      <c r="C49" s="6"/>
      <c r="D49" s="6"/>
      <c r="E49" s="6"/>
      <c r="F49" s="6"/>
    </row>
    <row r="50" spans="2:6" x14ac:dyDescent="0.25">
      <c r="B50" s="5" t="s">
        <v>31</v>
      </c>
      <c r="C50" s="6"/>
      <c r="D50" s="6"/>
      <c r="E50" s="6">
        <v>30103.322681990954</v>
      </c>
      <c r="F50" s="6"/>
    </row>
    <row r="51" spans="2:6" x14ac:dyDescent="0.25">
      <c r="B51" s="5" t="s">
        <v>33</v>
      </c>
      <c r="C51" s="6"/>
      <c r="D51" s="6"/>
      <c r="E51" s="6">
        <v>42454.335226995114</v>
      </c>
      <c r="F51" s="6"/>
    </row>
    <row r="52" spans="2:6" x14ac:dyDescent="0.25">
      <c r="B52" s="4" t="s">
        <v>45</v>
      </c>
      <c r="C52" s="6"/>
      <c r="D52" s="6"/>
      <c r="E52" s="6"/>
      <c r="F52" s="6"/>
    </row>
    <row r="53" spans="2:6" x14ac:dyDescent="0.25">
      <c r="B53" s="5" t="s">
        <v>31</v>
      </c>
      <c r="C53" s="6"/>
      <c r="D53" s="6"/>
      <c r="E53" s="6">
        <v>-1969258.2571203143</v>
      </c>
      <c r="F53" s="6"/>
    </row>
    <row r="54" spans="2:6" x14ac:dyDescent="0.25">
      <c r="B54" s="5" t="s">
        <v>33</v>
      </c>
      <c r="C54" s="6"/>
      <c r="D54" s="6"/>
      <c r="E54" s="6">
        <v>-1991926.6968191785</v>
      </c>
      <c r="F54" s="6"/>
    </row>
    <row r="55" spans="2:6" x14ac:dyDescent="0.25">
      <c r="B55" s="3" t="s">
        <v>59</v>
      </c>
      <c r="C55" s="6"/>
      <c r="D55" s="6"/>
      <c r="E55" s="6"/>
      <c r="F55" s="6"/>
    </row>
    <row r="56" spans="2:6" x14ac:dyDescent="0.25">
      <c r="B56" s="4" t="s">
        <v>44</v>
      </c>
      <c r="C56" s="6"/>
      <c r="D56" s="6"/>
      <c r="E56" s="6"/>
      <c r="F56" s="6"/>
    </row>
    <row r="57" spans="2:6" x14ac:dyDescent="0.25">
      <c r="B57" s="5" t="s">
        <v>31</v>
      </c>
      <c r="C57" s="6"/>
      <c r="D57" s="6"/>
      <c r="E57" s="6"/>
      <c r="F57" s="6">
        <v>355.28339122163055</v>
      </c>
    </row>
    <row r="58" spans="2:6" x14ac:dyDescent="0.25">
      <c r="B58" s="5" t="s">
        <v>33</v>
      </c>
      <c r="C58" s="6"/>
      <c r="D58" s="6"/>
      <c r="E58" s="6"/>
      <c r="F58" s="6">
        <v>299.42613531001479</v>
      </c>
    </row>
    <row r="59" spans="2:6" x14ac:dyDescent="0.25">
      <c r="B59" s="2" t="s">
        <v>60</v>
      </c>
      <c r="C59" s="6"/>
      <c r="D59" s="6"/>
      <c r="E59" s="6"/>
      <c r="F59" s="6"/>
    </row>
    <row r="60" spans="2:6" x14ac:dyDescent="0.25">
      <c r="B60" s="3" t="s">
        <v>17</v>
      </c>
      <c r="C60" s="6"/>
      <c r="D60" s="6"/>
      <c r="E60" s="6"/>
      <c r="F60" s="6"/>
    </row>
    <row r="61" spans="2:6" x14ac:dyDescent="0.25">
      <c r="B61" s="4" t="s">
        <v>25</v>
      </c>
      <c r="C61" s="6"/>
      <c r="D61" s="6"/>
      <c r="E61" s="6"/>
      <c r="F61" s="6"/>
    </row>
    <row r="62" spans="2:6" x14ac:dyDescent="0.25">
      <c r="B62" s="5" t="s">
        <v>31</v>
      </c>
      <c r="C62" s="6"/>
      <c r="D62" s="6">
        <v>226.86294329534581</v>
      </c>
      <c r="E62" s="6"/>
      <c r="F62" s="6"/>
    </row>
    <row r="63" spans="2:6" x14ac:dyDescent="0.25">
      <c r="B63" s="5" t="s">
        <v>33</v>
      </c>
      <c r="C63" s="6"/>
      <c r="D63" s="6">
        <v>260.13577195466149</v>
      </c>
      <c r="E63" s="6"/>
      <c r="F63" s="6"/>
    </row>
    <row r="64" spans="2:6" x14ac:dyDescent="0.25">
      <c r="B64" s="4" t="s">
        <v>26</v>
      </c>
      <c r="C64" s="6"/>
      <c r="D64" s="6"/>
      <c r="E64" s="6"/>
      <c r="F64" s="6"/>
    </row>
    <row r="65" spans="2:6" x14ac:dyDescent="0.25">
      <c r="B65" s="5" t="s">
        <v>31</v>
      </c>
      <c r="C65" s="6"/>
      <c r="D65" s="6">
        <v>21.681527007814168</v>
      </c>
      <c r="E65" s="6"/>
      <c r="F65" s="6"/>
    </row>
    <row r="66" spans="2:6" x14ac:dyDescent="0.25">
      <c r="B66" s="5" t="s">
        <v>33</v>
      </c>
      <c r="C66" s="6"/>
      <c r="D66" s="6">
        <v>14.156798868992931</v>
      </c>
      <c r="E66" s="6"/>
      <c r="F66" s="6"/>
    </row>
    <row r="67" spans="2:6" x14ac:dyDescent="0.25">
      <c r="B67" s="4" t="s">
        <v>18</v>
      </c>
      <c r="C67" s="6"/>
      <c r="D67" s="6"/>
      <c r="E67" s="6"/>
      <c r="F67" s="6"/>
    </row>
    <row r="68" spans="2:6" x14ac:dyDescent="0.25">
      <c r="B68" s="5" t="s">
        <v>31</v>
      </c>
      <c r="C68" s="6"/>
      <c r="D68" s="6"/>
      <c r="E68" s="6"/>
      <c r="F68" s="6">
        <v>140774721.05413494</v>
      </c>
    </row>
    <row r="69" spans="2:6" x14ac:dyDescent="0.25">
      <c r="B69" s="5" t="s">
        <v>33</v>
      </c>
      <c r="C69" s="6"/>
      <c r="D69" s="6"/>
      <c r="E69" s="6"/>
      <c r="F69" s="6">
        <v>22.640666642343298</v>
      </c>
    </row>
    <row r="70" spans="2:6" x14ac:dyDescent="0.25">
      <c r="B70" s="4" t="s">
        <v>43</v>
      </c>
      <c r="C70" s="6"/>
      <c r="D70" s="6"/>
      <c r="E70" s="6"/>
      <c r="F70" s="6"/>
    </row>
    <row r="71" spans="2:6" x14ac:dyDescent="0.25">
      <c r="B71" s="5" t="s">
        <v>31</v>
      </c>
      <c r="C71" s="6"/>
      <c r="D71" s="6"/>
      <c r="E71" s="6"/>
      <c r="F71" s="6">
        <v>5774.3715825720101</v>
      </c>
    </row>
    <row r="72" spans="2:6" x14ac:dyDescent="0.25">
      <c r="B72" s="5" t="s">
        <v>33</v>
      </c>
      <c r="C72" s="6"/>
      <c r="D72" s="6"/>
      <c r="E72" s="6"/>
      <c r="F72" s="6">
        <v>6991.5264447349737</v>
      </c>
    </row>
    <row r="73" spans="2:6" x14ac:dyDescent="0.25">
      <c r="B73" s="3" t="s">
        <v>23</v>
      </c>
      <c r="C73" s="6"/>
      <c r="D73" s="6"/>
      <c r="E73" s="6"/>
      <c r="F73" s="6"/>
    </row>
    <row r="74" spans="2:6" x14ac:dyDescent="0.25">
      <c r="B74" s="4" t="s">
        <v>3</v>
      </c>
      <c r="C74" s="6"/>
      <c r="D74" s="6"/>
      <c r="E74" s="6"/>
      <c r="F74" s="6"/>
    </row>
    <row r="75" spans="2:6" x14ac:dyDescent="0.25">
      <c r="B75" s="5" t="s">
        <v>31</v>
      </c>
      <c r="C75" s="6"/>
      <c r="D75" s="6"/>
      <c r="E75" s="6"/>
      <c r="F75" s="6">
        <v>5774.3715825720137</v>
      </c>
    </row>
    <row r="76" spans="2:6" x14ac:dyDescent="0.25">
      <c r="B76" s="5" t="s">
        <v>33</v>
      </c>
      <c r="C76" s="6"/>
      <c r="D76" s="6"/>
      <c r="E76" s="6"/>
      <c r="F76" s="6">
        <v>6991.5264447349737</v>
      </c>
    </row>
    <row r="77" spans="2:6" x14ac:dyDescent="0.25">
      <c r="B77" s="4" t="s">
        <v>4</v>
      </c>
      <c r="C77" s="6"/>
      <c r="D77" s="6"/>
      <c r="E77" s="6"/>
      <c r="F77" s="6"/>
    </row>
    <row r="78" spans="2:6" x14ac:dyDescent="0.25">
      <c r="B78" s="5" t="s">
        <v>31</v>
      </c>
      <c r="C78" s="6"/>
      <c r="D78" s="6"/>
      <c r="E78" s="6"/>
      <c r="F78" s="6">
        <v>14184.246083779943</v>
      </c>
    </row>
    <row r="79" spans="2:6" x14ac:dyDescent="0.25">
      <c r="B79" s="5" t="s">
        <v>33</v>
      </c>
      <c r="C79" s="6"/>
      <c r="D79" s="6"/>
      <c r="E79" s="6"/>
      <c r="F79" s="6">
        <v>15377.628696457494</v>
      </c>
    </row>
    <row r="80" spans="2:6" x14ac:dyDescent="0.25">
      <c r="B80" s="3" t="s">
        <v>7</v>
      </c>
      <c r="C80" s="6"/>
      <c r="D80" s="6"/>
      <c r="E80" s="6"/>
      <c r="F80" s="6"/>
    </row>
    <row r="81" spans="2:6" x14ac:dyDescent="0.25">
      <c r="B81" s="4" t="s">
        <v>3</v>
      </c>
      <c r="C81" s="6"/>
      <c r="D81" s="6"/>
      <c r="E81" s="6"/>
      <c r="F81" s="6"/>
    </row>
    <row r="82" spans="2:6" x14ac:dyDescent="0.25">
      <c r="B82" s="5" t="s">
        <v>31</v>
      </c>
      <c r="C82" s="6">
        <v>856375.00545913109</v>
      </c>
      <c r="D82" s="6"/>
      <c r="E82" s="6"/>
      <c r="F82" s="6"/>
    </row>
    <row r="83" spans="2:6" x14ac:dyDescent="0.25">
      <c r="B83" s="5" t="s">
        <v>33</v>
      </c>
      <c r="C83" s="6">
        <v>540678.18833203148</v>
      </c>
      <c r="D83" s="6"/>
      <c r="E83" s="6"/>
      <c r="F83" s="6"/>
    </row>
    <row r="84" spans="2:6" x14ac:dyDescent="0.25">
      <c r="B84" s="3" t="s">
        <v>24</v>
      </c>
      <c r="C84" s="6"/>
      <c r="D84" s="6"/>
      <c r="E84" s="6"/>
      <c r="F84" s="6"/>
    </row>
    <row r="85" spans="2:6" x14ac:dyDescent="0.25">
      <c r="B85" s="4" t="s">
        <v>30</v>
      </c>
      <c r="C85" s="6"/>
      <c r="D85" s="6"/>
      <c r="E85" s="6"/>
      <c r="F85" s="6"/>
    </row>
    <row r="86" spans="2:6" x14ac:dyDescent="0.25">
      <c r="B86" s="5" t="s">
        <v>31</v>
      </c>
      <c r="C86" s="6"/>
      <c r="D86" s="6"/>
      <c r="E86" s="6">
        <v>6678.5971335453032</v>
      </c>
      <c r="F86" s="6"/>
    </row>
    <row r="87" spans="2:6" x14ac:dyDescent="0.25">
      <c r="B87" s="5" t="s">
        <v>33</v>
      </c>
      <c r="C87" s="6"/>
      <c r="D87" s="6"/>
      <c r="E87" s="6">
        <v>3389.6918242606598</v>
      </c>
      <c r="F87" s="6"/>
    </row>
    <row r="88" spans="2:6" x14ac:dyDescent="0.25">
      <c r="B88" s="3" t="s">
        <v>58</v>
      </c>
      <c r="C88" s="6"/>
      <c r="D88" s="6"/>
      <c r="E88" s="6"/>
      <c r="F88" s="6"/>
    </row>
    <row r="89" spans="2:6" x14ac:dyDescent="0.25">
      <c r="B89" s="4" t="s">
        <v>27</v>
      </c>
      <c r="C89" s="6"/>
      <c r="D89" s="6"/>
      <c r="E89" s="6"/>
      <c r="F89" s="6"/>
    </row>
    <row r="90" spans="2:6" x14ac:dyDescent="0.25">
      <c r="B90" s="5" t="s">
        <v>31</v>
      </c>
      <c r="C90" s="6"/>
      <c r="D90" s="6"/>
      <c r="E90" s="6">
        <v>2291.1934972613167</v>
      </c>
      <c r="F90" s="6"/>
    </row>
    <row r="91" spans="2:6" x14ac:dyDescent="0.25">
      <c r="B91" s="5" t="s">
        <v>33</v>
      </c>
      <c r="C91" s="6"/>
      <c r="D91" s="6"/>
      <c r="E91" s="6">
        <v>2827.2679169719604</v>
      </c>
      <c r="F91" s="6"/>
    </row>
    <row r="92" spans="2:6" x14ac:dyDescent="0.25">
      <c r="B92" s="4" t="s">
        <v>28</v>
      </c>
      <c r="C92" s="6"/>
      <c r="D92" s="6"/>
      <c r="E92" s="6"/>
      <c r="F92" s="6"/>
    </row>
    <row r="93" spans="2:6" x14ac:dyDescent="0.25">
      <c r="B93" s="5" t="s">
        <v>31</v>
      </c>
      <c r="C93" s="6"/>
      <c r="D93" s="6"/>
      <c r="E93" s="6">
        <v>7549.1164445236591</v>
      </c>
      <c r="F93" s="6"/>
    </row>
    <row r="94" spans="2:6" x14ac:dyDescent="0.25">
      <c r="B94" s="5" t="s">
        <v>33</v>
      </c>
      <c r="C94" s="6"/>
      <c r="D94" s="6"/>
      <c r="E94" s="6">
        <v>8365.0074817120931</v>
      </c>
      <c r="F94" s="6"/>
    </row>
    <row r="95" spans="2:6" x14ac:dyDescent="0.25">
      <c r="B95" s="4" t="s">
        <v>29</v>
      </c>
      <c r="C95" s="6"/>
      <c r="D95" s="6"/>
      <c r="E95" s="6"/>
      <c r="F95" s="6"/>
    </row>
    <row r="96" spans="2:6" x14ac:dyDescent="0.25">
      <c r="B96" s="5" t="s">
        <v>31</v>
      </c>
      <c r="C96" s="6"/>
      <c r="D96" s="6"/>
      <c r="E96" s="6">
        <v>12038.728724313554</v>
      </c>
      <c r="F96" s="6"/>
    </row>
    <row r="97" spans="2:6" x14ac:dyDescent="0.25">
      <c r="B97" s="5" t="s">
        <v>33</v>
      </c>
      <c r="C97" s="6"/>
      <c r="D97" s="6"/>
      <c r="E97" s="6">
        <v>9539.6335397618495</v>
      </c>
      <c r="F97" s="6"/>
    </row>
    <row r="98" spans="2:6" x14ac:dyDescent="0.25">
      <c r="B98" s="4" t="s">
        <v>32</v>
      </c>
      <c r="C98" s="6"/>
      <c r="D98" s="6"/>
      <c r="E98" s="6"/>
      <c r="F98" s="6"/>
    </row>
    <row r="99" spans="2:6" x14ac:dyDescent="0.25">
      <c r="B99" s="5" t="s">
        <v>31</v>
      </c>
      <c r="C99" s="6"/>
      <c r="D99" s="6"/>
      <c r="E99" s="6">
        <v>30162.91604343725</v>
      </c>
      <c r="F99" s="6"/>
    </row>
    <row r="100" spans="2:6" x14ac:dyDescent="0.25">
      <c r="B100" s="5" t="s">
        <v>33</v>
      </c>
      <c r="C100" s="6"/>
      <c r="D100" s="6"/>
      <c r="E100" s="6">
        <v>42454.335226995143</v>
      </c>
      <c r="F100" s="6"/>
    </row>
    <row r="101" spans="2:6" x14ac:dyDescent="0.25">
      <c r="B101" s="4" t="s">
        <v>45</v>
      </c>
      <c r="C101" s="6"/>
      <c r="D101" s="6"/>
      <c r="E101" s="6"/>
      <c r="F101" s="6"/>
    </row>
    <row r="102" spans="2:6" x14ac:dyDescent="0.25">
      <c r="B102" s="5" t="s">
        <v>31</v>
      </c>
      <c r="C102" s="6"/>
      <c r="D102" s="6"/>
      <c r="E102" s="6">
        <v>-1969258.2571203189</v>
      </c>
      <c r="F102" s="6"/>
    </row>
    <row r="103" spans="2:6" x14ac:dyDescent="0.25">
      <c r="B103" s="5" t="s">
        <v>33</v>
      </c>
      <c r="C103" s="6"/>
      <c r="D103" s="6"/>
      <c r="E103" s="6">
        <v>-1991926.6968191806</v>
      </c>
      <c r="F103" s="6"/>
    </row>
    <row r="104" spans="2:6" x14ac:dyDescent="0.25">
      <c r="B104" s="3" t="s">
        <v>59</v>
      </c>
      <c r="C104" s="6"/>
      <c r="D104" s="6"/>
      <c r="E104" s="6"/>
      <c r="F104" s="6"/>
    </row>
    <row r="105" spans="2:6" x14ac:dyDescent="0.25">
      <c r="B105" s="4" t="s">
        <v>44</v>
      </c>
      <c r="C105" s="6"/>
      <c r="D105" s="6"/>
      <c r="E105" s="6"/>
      <c r="F105" s="6"/>
    </row>
    <row r="106" spans="2:6" x14ac:dyDescent="0.25">
      <c r="B106" s="5" t="s">
        <v>31</v>
      </c>
      <c r="C106" s="6"/>
      <c r="D106" s="6"/>
      <c r="E106" s="6"/>
      <c r="F106" s="6">
        <v>355.28339122163055</v>
      </c>
    </row>
    <row r="107" spans="2:6" x14ac:dyDescent="0.25">
      <c r="B107" s="5" t="s">
        <v>33</v>
      </c>
      <c r="C107" s="6"/>
      <c r="D107" s="6"/>
      <c r="E107" s="6"/>
      <c r="F107" s="6">
        <v>299.42613531001479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C83F-0CBD-4DA5-9257-EB189ACBBFB2}">
  <sheetPr codeName="Sheet5"/>
  <dimension ref="B3:K15"/>
  <sheetViews>
    <sheetView workbookViewId="0">
      <selection activeCell="G21" sqref="G21"/>
    </sheetView>
  </sheetViews>
  <sheetFormatPr defaultRowHeight="15" x14ac:dyDescent="0.25"/>
  <cols>
    <col min="2" max="2" width="29.42578125" bestFit="1" customWidth="1"/>
    <col min="3" max="3" width="16.85546875" bestFit="1" customWidth="1"/>
    <col min="4" max="11" width="10.5703125" bestFit="1" customWidth="1"/>
    <col min="12" max="12" width="13" bestFit="1" customWidth="1"/>
    <col min="13" max="13" width="11.42578125" bestFit="1" customWidth="1"/>
    <col min="14" max="14" width="10" bestFit="1" customWidth="1"/>
    <col min="15" max="15" width="12.5703125" bestFit="1" customWidth="1"/>
    <col min="16" max="16" width="13" bestFit="1" customWidth="1"/>
    <col min="17" max="17" width="11.42578125" bestFit="1" customWidth="1"/>
    <col min="18" max="18" width="10" bestFit="1" customWidth="1"/>
    <col min="19" max="19" width="12.5703125" bestFit="1" customWidth="1"/>
    <col min="20" max="20" width="13" bestFit="1" customWidth="1"/>
    <col min="21" max="21" width="11.42578125" bestFit="1" customWidth="1"/>
    <col min="22" max="22" width="10" bestFit="1" customWidth="1"/>
    <col min="23" max="23" width="12.5703125" bestFit="1" customWidth="1"/>
    <col min="24" max="24" width="13" bestFit="1" customWidth="1"/>
    <col min="25" max="25" width="11.42578125" bestFit="1" customWidth="1"/>
    <col min="26" max="26" width="9" bestFit="1" customWidth="1"/>
    <col min="27" max="27" width="12.5703125" bestFit="1" customWidth="1"/>
    <col min="28" max="28" width="13" bestFit="1" customWidth="1"/>
    <col min="29" max="29" width="11.42578125" bestFit="1" customWidth="1"/>
    <col min="30" max="30" width="6.85546875" bestFit="1" customWidth="1"/>
    <col min="31" max="31" width="12.5703125" bestFit="1" customWidth="1"/>
    <col min="32" max="32" width="13" bestFit="1" customWidth="1"/>
    <col min="33" max="33" width="11.42578125" bestFit="1" customWidth="1"/>
    <col min="34" max="34" width="6.85546875" bestFit="1" customWidth="1"/>
    <col min="35" max="35" width="12.5703125" bestFit="1" customWidth="1"/>
    <col min="36" max="36" width="13" bestFit="1" customWidth="1"/>
    <col min="37" max="37" width="11.42578125" bestFit="1" customWidth="1"/>
    <col min="38" max="38" width="6.85546875" bestFit="1" customWidth="1"/>
    <col min="39" max="39" width="12.5703125" bestFit="1" customWidth="1"/>
    <col min="40" max="40" width="13" bestFit="1" customWidth="1"/>
    <col min="41" max="41" width="11.42578125" bestFit="1" customWidth="1"/>
  </cols>
  <sheetData>
    <row r="3" spans="2:11" x14ac:dyDescent="0.25">
      <c r="B3" s="1" t="s">
        <v>16</v>
      </c>
      <c r="C3" t="s" vm="1">
        <v>18</v>
      </c>
    </row>
    <row r="4" spans="2:11" x14ac:dyDescent="0.25">
      <c r="B4" s="1" t="s">
        <v>42</v>
      </c>
      <c r="C4" t="s" vm="6">
        <v>15</v>
      </c>
    </row>
    <row r="5" spans="2:11" x14ac:dyDescent="0.25">
      <c r="B5" s="1" t="s">
        <v>41</v>
      </c>
      <c r="C5" t="s" vm="5">
        <v>15</v>
      </c>
    </row>
    <row r="6" spans="2:11" x14ac:dyDescent="0.25">
      <c r="B6" s="1" t="s">
        <v>55</v>
      </c>
      <c r="C6" t="s" vm="12">
        <v>56</v>
      </c>
    </row>
    <row r="8" spans="2:11" x14ac:dyDescent="0.25">
      <c r="B8" s="1" t="s">
        <v>2</v>
      </c>
      <c r="C8" s="1" t="s">
        <v>6</v>
      </c>
    </row>
    <row r="9" spans="2:11" x14ac:dyDescent="0.25">
      <c r="C9">
        <v>2010</v>
      </c>
      <c r="D9">
        <v>2015</v>
      </c>
      <c r="E9">
        <v>2020</v>
      </c>
      <c r="F9">
        <v>2025</v>
      </c>
      <c r="G9">
        <v>2030</v>
      </c>
      <c r="H9">
        <v>2035</v>
      </c>
      <c r="I9">
        <v>2040</v>
      </c>
      <c r="J9">
        <v>2045</v>
      </c>
      <c r="K9">
        <v>2050</v>
      </c>
    </row>
    <row r="10" spans="2:11" x14ac:dyDescent="0.25">
      <c r="C10" t="s">
        <v>5</v>
      </c>
      <c r="D10" t="s">
        <v>5</v>
      </c>
      <c r="E10" t="s">
        <v>5</v>
      </c>
      <c r="F10" t="s">
        <v>5</v>
      </c>
      <c r="G10" t="s">
        <v>5</v>
      </c>
      <c r="H10" t="s">
        <v>5</v>
      </c>
      <c r="I10" t="s">
        <v>5</v>
      </c>
      <c r="J10" t="s">
        <v>5</v>
      </c>
      <c r="K10" t="s">
        <v>5</v>
      </c>
    </row>
    <row r="11" spans="2:11" x14ac:dyDescent="0.25">
      <c r="B11" s="1" t="s">
        <v>0</v>
      </c>
      <c r="C11" t="s">
        <v>38</v>
      </c>
      <c r="D11" t="s">
        <v>38</v>
      </c>
      <c r="E11" t="s">
        <v>38</v>
      </c>
      <c r="F11" t="s">
        <v>38</v>
      </c>
      <c r="G11" t="s">
        <v>38</v>
      </c>
      <c r="H11" t="s">
        <v>38</v>
      </c>
      <c r="I11" t="s">
        <v>38</v>
      </c>
      <c r="J11" t="s">
        <v>38</v>
      </c>
      <c r="K11" t="s">
        <v>38</v>
      </c>
    </row>
    <row r="12" spans="2:11" x14ac:dyDescent="0.25">
      <c r="B12" s="2" t="s">
        <v>17</v>
      </c>
      <c r="C12" s="6"/>
      <c r="D12" s="6"/>
      <c r="E12" s="6"/>
      <c r="F12" s="6"/>
      <c r="G12" s="6"/>
      <c r="H12" s="6"/>
      <c r="I12" s="6"/>
      <c r="J12" s="6"/>
      <c r="K12" s="6"/>
    </row>
    <row r="13" spans="2:11" x14ac:dyDescent="0.25">
      <c r="B13" s="3" t="s">
        <v>40</v>
      </c>
      <c r="C13" s="6"/>
      <c r="D13" s="6"/>
      <c r="E13" s="6"/>
      <c r="F13" s="6"/>
      <c r="G13" s="6"/>
      <c r="H13" s="6"/>
      <c r="I13" s="6"/>
      <c r="J13" s="6"/>
      <c r="K13" s="6"/>
    </row>
    <row r="14" spans="2:11" x14ac:dyDescent="0.25">
      <c r="B14" s="4" t="s">
        <v>34</v>
      </c>
      <c r="C14" s="6">
        <v>12.0689234780137</v>
      </c>
      <c r="D14" s="6">
        <v>11.8992402199084</v>
      </c>
      <c r="E14" s="6">
        <v>23.089695169021098</v>
      </c>
      <c r="F14" s="6">
        <v>23.8127482465624</v>
      </c>
      <c r="G14" s="6">
        <v>11.427212247935801</v>
      </c>
      <c r="H14" s="6">
        <v>11.427212247926199</v>
      </c>
      <c r="I14" s="6">
        <v>11.4272122479454</v>
      </c>
      <c r="J14" s="6">
        <v>11.427212248657201</v>
      </c>
      <c r="K14" s="6">
        <v>23.1813471684424</v>
      </c>
    </row>
    <row r="15" spans="2:11" x14ac:dyDescent="0.25">
      <c r="B15" s="4" t="s">
        <v>60</v>
      </c>
      <c r="C15" s="6">
        <v>12.0689234780137</v>
      </c>
      <c r="D15" s="6">
        <v>11.8992402199084</v>
      </c>
      <c r="E15" s="6">
        <v>23.089273101106699</v>
      </c>
      <c r="F15" s="6">
        <v>23.239800481072898</v>
      </c>
      <c r="G15" s="6">
        <v>11.427212247935801</v>
      </c>
      <c r="H15" s="6">
        <v>11.427212247926199</v>
      </c>
      <c r="I15" s="6">
        <v>11.4272122479454</v>
      </c>
      <c r="J15" s="6">
        <v>11.427212248657201</v>
      </c>
      <c r="K15" s="6">
        <v>23.1813471684424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A0449FB-EC23-441D-B365-267531E8B581}">
  <ds:schemaRefs/>
</ds:datastoreItem>
</file>

<file path=customXml/itemProps2.xml><?xml version="1.0" encoding="utf-8"?>
<ds:datastoreItem xmlns:ds="http://schemas.openxmlformats.org/officeDocument/2006/customXml" ds:itemID="{DD04726F-71DD-4533-B59F-E1B67444DD3B}">
  <ds:schemaRefs/>
</ds:datastoreItem>
</file>

<file path=customXml/itemProps3.xml><?xml version="1.0" encoding="utf-8"?>
<ds:datastoreItem xmlns:ds="http://schemas.openxmlformats.org/officeDocument/2006/customXml" ds:itemID="{4DFB369D-0F20-4141-B7C4-221085455EEF}">
  <ds:schemaRefs/>
</ds:datastoreItem>
</file>

<file path=customXml/itemProps4.xml><?xml version="1.0" encoding="utf-8"?>
<ds:datastoreItem xmlns:ds="http://schemas.openxmlformats.org/officeDocument/2006/customXml" ds:itemID="{19EE3D69-2C7A-4065-ADF8-2E807E66B81F}">
  <ds:schemaRefs/>
</ds:datastoreItem>
</file>

<file path=customXml/itemProps5.xml><?xml version="1.0" encoding="utf-8"?>
<ds:datastoreItem xmlns:ds="http://schemas.openxmlformats.org/officeDocument/2006/customXml" ds:itemID="{E4D9871A-E9F6-464F-9396-C74361592589}">
  <ds:schemaRefs/>
</ds:datastoreItem>
</file>

<file path=customXml/itemProps6.xml><?xml version="1.0" encoding="utf-8"?>
<ds:datastoreItem xmlns:ds="http://schemas.openxmlformats.org/officeDocument/2006/customXml" ds:itemID="{A61F65B8-A6E6-4350-AEAF-F1909D60CE87}">
  <ds:schemaRefs/>
</ds:datastoreItem>
</file>

<file path=customXml/itemProps7.xml><?xml version="1.0" encoding="utf-8"?>
<ds:datastoreItem xmlns:ds="http://schemas.openxmlformats.org/officeDocument/2006/customXml" ds:itemID="{F15D7FA0-9857-4E54-B993-D5D807107A98}">
  <ds:schemaRefs/>
</ds:datastoreItem>
</file>

<file path=customXml/itemProps8.xml><?xml version="1.0" encoding="utf-8"?>
<ds:datastoreItem xmlns:ds="http://schemas.openxmlformats.org/officeDocument/2006/customXml" ds:itemID="{94C560EE-486A-4DE2-93CD-5D940B03D96D}">
  <ds:schemaRefs/>
</ds:datastoreItem>
</file>

<file path=customXml/itemProps9.xml><?xml version="1.0" encoding="utf-8"?>
<ds:datastoreItem xmlns:ds="http://schemas.openxmlformats.org/officeDocument/2006/customXml" ds:itemID="{A1B0E2FE-97AF-4EF3-99E2-21425A029CA0}">
  <ds:schemaRefs/>
</ds:datastoreItem>
</file>

<file path=customXml/itemProps10.xml><?xml version="1.0" encoding="utf-8"?>
<ds:datastoreItem xmlns:ds="http://schemas.openxmlformats.org/officeDocument/2006/customXml" ds:itemID="{7E192D34-1B6A-43A5-8D6A-DB220CF36DF5}">
  <ds:schemaRefs/>
</ds:datastoreItem>
</file>

<file path=customXml/itemProps11.xml><?xml version="1.0" encoding="utf-8"?>
<ds:datastoreItem xmlns:ds="http://schemas.openxmlformats.org/officeDocument/2006/customXml" ds:itemID="{3386E1FA-57AA-46F7-AF63-A819545A0606}">
  <ds:schemaRefs/>
</ds:datastoreItem>
</file>

<file path=customXml/itemProps12.xml><?xml version="1.0" encoding="utf-8"?>
<ds:datastoreItem xmlns:ds="http://schemas.openxmlformats.org/officeDocument/2006/customXml" ds:itemID="{7B8BCCAC-653D-4DAC-A305-91A6AFF800BC}">
  <ds:schemaRefs/>
</ds:datastoreItem>
</file>

<file path=customXml/itemProps13.xml><?xml version="1.0" encoding="utf-8"?>
<ds:datastoreItem xmlns:ds="http://schemas.openxmlformats.org/officeDocument/2006/customXml" ds:itemID="{9CBB8C63-8DB8-4E75-B464-F3ABFE6D904A}">
  <ds:schemaRefs>
    <ds:schemaRef ds:uri="http://schemas.microsoft.com/DataMashup"/>
  </ds:schemaRefs>
</ds:datastoreItem>
</file>

<file path=customXml/itemProps14.xml><?xml version="1.0" encoding="utf-8"?>
<ds:datastoreItem xmlns:ds="http://schemas.openxmlformats.org/officeDocument/2006/customXml" ds:itemID="{6A00AE14-1145-45D5-A8F9-12F698EC9E58}">
  <ds:schemaRefs>
    <ds:schemaRef ds:uri="http://www.w3.org/2001/XMLSchema"/>
    <ds:schemaRef ds:uri="http://microsoft.data.visualization.engine.tours/1.0"/>
  </ds:schemaRefs>
</ds:datastoreItem>
</file>

<file path=customXml/itemProps15.xml><?xml version="1.0" encoding="utf-8"?>
<ds:datastoreItem xmlns:ds="http://schemas.openxmlformats.org/officeDocument/2006/customXml" ds:itemID="{CE447EFA-4157-4CA6-A785-8743EA582AFF}">
  <ds:schemaRefs>
    <ds:schemaRef ds:uri="http://www.w3.org/2001/XMLSchema"/>
    <ds:schemaRef ds:uri="http://microsoft.data.visualization.Client.Excel/1.0"/>
  </ds:schemaRefs>
</ds:datastoreItem>
</file>

<file path=customXml/itemProps16.xml><?xml version="1.0" encoding="utf-8"?>
<ds:datastoreItem xmlns:ds="http://schemas.openxmlformats.org/officeDocument/2006/customXml" ds:itemID="{4E845E19-E202-4784-91B2-2D1FC6087A4C}">
  <ds:schemaRefs/>
</ds:datastoreItem>
</file>

<file path=customXml/itemProps17.xml><?xml version="1.0" encoding="utf-8"?>
<ds:datastoreItem xmlns:ds="http://schemas.openxmlformats.org/officeDocument/2006/customXml" ds:itemID="{850E7F95-22E6-4E46-86F2-6B494385A7E2}">
  <ds:schemaRefs/>
</ds:datastoreItem>
</file>

<file path=customXml/itemProps18.xml><?xml version="1.0" encoding="utf-8"?>
<ds:datastoreItem xmlns:ds="http://schemas.openxmlformats.org/officeDocument/2006/customXml" ds:itemID="{6B9FF009-3B0A-4621-A12B-BF389F327D50}">
  <ds:schemaRefs/>
</ds:datastoreItem>
</file>

<file path=customXml/itemProps19.xml><?xml version="1.0" encoding="utf-8"?>
<ds:datastoreItem xmlns:ds="http://schemas.openxmlformats.org/officeDocument/2006/customXml" ds:itemID="{E5F02267-CC64-4BCF-8033-0EE868BD23AA}">
  <ds:schemaRefs/>
</ds:datastoreItem>
</file>

<file path=customXml/itemProps20.xml><?xml version="1.0" encoding="utf-8"?>
<ds:datastoreItem xmlns:ds="http://schemas.openxmlformats.org/officeDocument/2006/customXml" ds:itemID="{B5A02C70-8C1B-4AF9-895E-672B2ED3D6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RefreshDataHowTo</vt:lpstr>
      <vt:lpstr>ObjectiveValue</vt:lpstr>
      <vt:lpstr>Emission</vt:lpstr>
      <vt:lpstr>Electricity</vt:lpstr>
      <vt:lpstr>LevelizedCost</vt:lpstr>
      <vt:lpstr>filename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Kristoffer Steen Andersen</dc:creator>
  <cp:lastModifiedBy>Kristoffer Steen Andersen</cp:lastModifiedBy>
  <dcterms:created xsi:type="dcterms:W3CDTF">2024-06-20T07:29:26Z</dcterms:created>
  <dcterms:modified xsi:type="dcterms:W3CDTF">2025-03-13T15:18:01Z</dcterms:modified>
</cp:coreProperties>
</file>